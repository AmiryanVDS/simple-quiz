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63ae4236094d50" /></Relationships>
</file>

<file path=xl/workbook.xml><?xml version="1.0" encoding="utf-8"?>
<x:workbook xmlns:x="http://schemas.openxmlformats.org/spreadsheetml/2006/main">
  <x:sheets>
    <x:sheet xmlns:r="http://schemas.openxmlformats.org/officeDocument/2006/relationships" name="Каталог" sheetId="1" r:id="Reb02543238f24fe3"/>
    <x:sheet xmlns:r="http://schemas.openxmlformats.org/officeDocument/2006/relationships" name="Механики" sheetId="2" r:id="Rfecdde80cd6144d2"/>
    <x:sheet xmlns:r="http://schemas.openxmlformats.org/officeDocument/2006/relationships" name="Раунды" sheetId="3" r:id="R365ab78999be4969"/>
    <x:sheet xmlns:r="http://schemas.openxmlformats.org/officeDocument/2006/relationships" name="Дашборд" sheetId="4" r:id="R857a10b2a9214800"/>
    <x:sheet xmlns:r="http://schemas.openxmlformats.org/officeDocument/2006/relationships" name="Новые пакеты" sheetId="5" r:id="R38701e2805f74ebd"/>
    <x:sheet xmlns:r="http://schemas.openxmlformats.org/officeDocument/2006/relationships" name="Telegram-архив" sheetId="6" r:id="R7bff7c2e620448b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yyyy-mm-dd"/>
  </x:numFmts>
  <x:fonts count="8">
    <x:font>
      <x:sz val="11"/>
      <x:name val="Carlito"/>
    </x:font>
    <x:font>
      <x:b/>
      <x:sz val="11"/>
      <x:color rgb="FFFFFFFF"/>
      <x:name val="Carlito"/>
    </x:font>
    <x:font>
      <x:b/>
      <x:sz val="20"/>
      <x:color rgb="FFFFFFFF"/>
      <x:name val="Carlito"/>
    </x:font>
    <x:font>
      <x:b/>
      <x:sz val="11"/>
      <x:name val="Carlito"/>
    </x:font>
    <x:font>
      <x:b/>
      <x:sz val="18"/>
      <x:color rgb="FFFFFFFF"/>
      <x:name val="Carlito"/>
    </x:font>
    <x:font>
      <x:i/>
      <x:sz val="11"/>
      <x:color rgb="FF17365D"/>
      <x:name val="Carlito"/>
    </x:font>
    <x:font>
      <x:sz val="10"/>
      <x:name val="Carlito"/>
    </x:font>
    <x:font>
      <x:b/>
      <x:sz val="10"/>
      <x:color rgb="FFFFFFFF"/>
      <x:name val="Carlito"/>
    </x:font>
  </x:fonts>
  <x:fills count="12">
    <x:fill>
      <x:patternFill patternType="none"/>
    </x:fill>
    <x:fill>
      <x:patternFill patternType="gray125"/>
    </x:fill>
    <x:fill>
      <x:patternFill patternType="solid">
        <x:fgColor rgb="FF17365D"/>
      </x:patternFill>
    </x:fill>
    <x:fill>
      <x:patternFill patternType="solid">
        <x:fgColor rgb="FF7030A0"/>
      </x:patternFill>
    </x:fill>
    <x:fill>
      <x:patternFill patternType="solid">
        <x:fgColor rgb="FF548235"/>
      </x:patternFill>
    </x:fill>
    <x:fill>
      <x:patternFill patternType="solid">
        <x:fgColor rgb="FF5B9BD5"/>
      </x:patternFill>
    </x:fill>
    <x:fill>
      <x:patternFill patternType="solid">
        <x:fgColor rgb="FF70AD47"/>
      </x:patternFill>
    </x:fill>
    <x:fill>
      <x:patternFill patternType="solid">
        <x:fgColor rgb="FFED7D31"/>
      </x:patternFill>
    </x:fill>
    <x:fill>
      <x:patternFill patternType="solid">
        <x:fgColor rgb="FF44546A"/>
      </x:patternFill>
    </x:fill>
    <x:fill>
      <x:patternFill patternType="solid">
        <x:fgColor rgb="FF17365D"/>
      </x:patternFill>
    </x:fill>
    <x:fill>
      <x:patternFill patternType="solid">
        <x:fgColor rgb="FFD9EAF7"/>
      </x:patternFill>
    </x:fill>
    <x:fill>
      <x:patternFill patternType="solid">
        <x:fgColor rgb="FF244F7D"/>
      </x:patternFill>
    </x:fill>
  </x:fills>
  <x:borders count="1">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201"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3" borderId="0" xfId="0" applyNumberFormat="1" applyFont="1" applyFill="1" applyBorder="1" applyAlignment="1">
      <x:alignment horizontal="center"/>
    </x:xf>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202" fontId="0" fillId="0" borderId="0" xfId="0" applyNumberFormat="1" applyFont="1" applyFill="1" applyBorder="1"/>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x:xf>
    <x:xf numFmtId="0" fontId="7" fillId="0" borderId="0" xfId="0" applyNumberFormat="1" applyFont="1" applyFill="1" applyBorder="1" applyAlignment="1">
      <x:alignment vertical="top"/>
    </x:xf>
    <x:xf numFmtId="0" fontId="7" fillId="11" borderId="0" xfId="0" applyNumberFormat="1" applyFont="1" applyFill="1" applyBorder="1" applyAlignment="1">
      <x:alignment vertical="top"/>
    </x:xf>
  </x:cellXfs>
  <x:cellStyles count="1">
    <x:cellStyle name="Normal" xfId="0"/>
  </x:cellStyles>
  <x:dxfs count="3">
    <x:dxf>
      <x:font>
        <x:color rgb="FF475569"/>
      </x:font>
      <x:fill>
        <x:patternFill patternType="solid">
          <x:bgColor rgb="FFE2E8F0"/>
        </x:patternFill>
      </x:fill>
    </x:dxf>
    <x:dxf>
      <x:font>
        <x:color rgb="FF854D0E"/>
      </x:font>
      <x:fill>
        <x:patternFill patternType="solid">
          <x:bgColor rgb="FFFDE68A"/>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2a96d8e69c4c31" /><Relationship Type="http://schemas.openxmlformats.org/officeDocument/2006/relationships/theme" Target="/xl/theme/theme1.xml" Id="Rd807bcc4e81e4034" /><Relationship Type="http://schemas.openxmlformats.org/officeDocument/2006/relationships/sharedStrings" Target="/xl/sharedStrings.xml" Id="Re65b5a29c4fc438a" /><Relationship Type="http://schemas.openxmlformats.org/officeDocument/2006/relationships/worksheet" Target="/xl/worksheets/sheet1.xml" Id="Reb02543238f24fe3" /><Relationship Type="http://schemas.openxmlformats.org/officeDocument/2006/relationships/worksheet" Target="/xl/worksheets/sheet2.xml" Id="Rfecdde80cd6144d2" /><Relationship Type="http://schemas.openxmlformats.org/officeDocument/2006/relationships/worksheet" Target="/xl/worksheets/sheet3.xml" Id="R365ab78999be4969" /><Relationship Type="http://schemas.openxmlformats.org/officeDocument/2006/relationships/worksheet" Target="/xl/worksheets/sheet4.xml" Id="R857a10b2a9214800" /><Relationship Type="http://schemas.openxmlformats.org/officeDocument/2006/relationships/worksheet" Target="/xl/worksheets/sheet5.xml" Id="R38701e2805f74ebd" /><Relationship Type="http://schemas.openxmlformats.org/officeDocument/2006/relationships/worksheet" Target="/xl/worksheets/sheet6.xml" Id="R7bff7c2e620448b8" /></Relationships>
</file>

<file path=xl/drawings/_rels/drawing1.xml.rels>&#65279;<?xml version="1.0" encoding="utf-8"?><Relationships xmlns="http://schemas.openxmlformats.org/package/2006/relationships"><Relationship Type="http://schemas.openxmlformats.org/officeDocument/2006/relationships/chart" Target="/xl/drawings/charts/chart1.xml" Id="R2f00b371ac58452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Средняя сложность по раундам</a:t>
            </a:r>
          </a:p>
        </c:rich>
      </c:tx>
    </c:title>
    <c:plotArea>
      <c:barChart>
        <c:barDir val="col"/>
        <c:varyColors val="0"/>
        <c:ser>
          <c:idx val="0"/>
          <c:order val="0"/>
          <c:tx>
            <c:v>Средняя сложность</c:v>
          </c:tx>
          <c:cat>
            <c:strRef>
              <c:f>'Дашборд'!$A$17:$A$24</c:f>
              <c:strCache>
                <c:ptCount val="0"/>
              </c:strCache>
            </c:strRef>
          </c:cat>
          <c:val>
            <c:numRef>
              <c:f>'Дашборд'!$B$17:$B$24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15</xdr:row>
      <xdr:rowOff>0</xdr:rowOff>
    </xdr:from>
    <xdr:to>
      <xdr:col>13</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f00b371ac584528"/>
        </a:graphicData>
      </a:graphic>
    </xdr:graphicFrame>
    <xdr:clientData/>
  </xdr:twoCellAnchor>
</xdr:wsDr>
</file>

<file path=xl/tables/table1.xml><?xml version="1.0" encoding="utf-8"?>
<x:table xmlns:x="http://schemas.openxmlformats.org/spreadsheetml/2006/main" id="1" name="QuestionsTable" displayName="QuestionsTable" ref="A1:N171" headerRowCount="1" totalsRowCount="0" totalsRowShown="0">
  <x:autoFilter ref="A1:N171"/>
  <x:tableColumns count="14">
    <x:tableColumn id="1" name="ID"/>
    <x:tableColumn id="2" name="Раунд"/>
    <x:tableColumn id="3" name="Название раунда"/>
    <x:tableColumn id="4" name="№ вопроса"/>
    <x:tableColumn id="5" name="Текст вопроса"/>
    <x:tableColumn id="6" name="Ответ"/>
    <x:tableColumn id="7" name="Механика"/>
    <x:tableColumn id="8" name="Области"/>
    <x:tableColumn id="9" name="Цепочка решения"/>
    <x:tableColumn id="10" name="Сложность 1–10"/>
    <x:tableColumn id="11" name="Повторяемость механики"/>
    <x:tableColumn id="12" name="Слайд вопроса"/>
    <x:tableColumn id="13" name="Слайд ответа"/>
    <x:tableColumn id="14" name="Источник"/>
  </x:tableColumns>
  <x:tableStyleInfo name="TableStyleMedium2" showFirstColumn="0" showLastColumn="0" showRowStripes="1" showColumnStripes="0"/>
</x:table>
</file>

<file path=xl/tables/table2.xml><?xml version="1.0" encoding="utf-8"?>
<x:table xmlns:x="http://schemas.openxmlformats.org/spreadsheetml/2006/main" id="2" name="MechanicsTable" displayName="MechanicsTable" ref="A1:D47" headerRowCount="1" totalsRowCount="0" totalsRowShown="0">
  <x:autoFilter ref="A1:D47"/>
  <x:tableColumns count="4">
    <x:tableColumn id="1" name="Механика"/>
    <x:tableColumn id="2" name="Количество"/>
    <x:tableColumn id="3" name="Доля"/>
    <x:tableColumn id="4" name="Как распознавать"/>
  </x:tableColumns>
  <x:tableStyleInfo name="TableStyleMedium2" showFirstColumn="0" showLastColumn="0" showRowStripes="1" showColumnStripes="0"/>
</x:table>
</file>

<file path=xl/tables/table3.xml><?xml version="1.0" encoding="utf-8"?>
<x:table xmlns:x="http://schemas.openxmlformats.org/spreadsheetml/2006/main" id="3" name="RoundsTable" displayName="RoundsTable" ref="A1:E9" headerRowCount="1" totalsRowCount="0" totalsRowShown="0">
  <x:autoFilter ref="A1:E9"/>
  <x:tableColumns count="5">
    <x:tableColumn id="1" name="Раунд"/>
    <x:tableColumn id="2" name="Название"/>
    <x:tableColumn id="3" name="Содержание"/>
    <x:tableColumn id="4" name="Система баллов"/>
    <x:tableColumn id="5" name="Ключ к подготовке"/>
  </x:tableColumns>
  <x:tableStyleInfo name="TableStyleMedium2" showFirstColumn="0" showLastColumn="0" showRowStripes="1" showColumnStripes="0"/>
</x:table>
</file>

<file path=xl/tables/table4.xml><?xml version="1.0" encoding="utf-8"?>
<x:table xmlns:x="http://schemas.openxmlformats.org/spreadsheetml/2006/main" id="4" name="NewQuestionsTable" displayName="NewQuestionsTable" ref="A1:L31" headerRowCount="1" totalsRowCount="0" totalsRowShown="0">
  <x:autoFilter ref="A1:L31"/>
  <x:tableColumns count="12">
    <x:tableColumn id="1" name="Дата игры"/>
    <x:tableColumn id="2" name="Название/номер игры"/>
    <x:tableColumn id="3" name="Раунд"/>
    <x:tableColumn id="4" name="№ вопроса"/>
    <x:tableColumn id="5" name="Текст вопроса"/>
    <x:tableColumn id="6" name="Ответ"/>
    <x:tableColumn id="7" name="Механика"/>
    <x:tableColumn id="8" name="Области"/>
    <x:tableColumn id="9" name="Цепочка решения"/>
    <x:tableColumn id="10" name="Сложность"/>
    <x:tableColumn id="11" name="Источник/ссылка"/>
    <x:tableColumn id="12" name="Проверено"/>
  </x:tableColumns>
  <x:tableStyleInfo name="TableStyleMedium2" showFirstColumn="0" showLastColumn="0" showRowStripes="1" showColumnStripes="0"/>
</x:table>
</file>

<file path=xl/tables/table5.xml><?xml version="1.0" encoding="utf-8"?>
<x:table xmlns:x="http://schemas.openxmlformats.org/spreadsheetml/2006/main" id="5" name="TelegramQuestionsTable" displayName="TelegramQuestionsTable" ref="A3:J133" headerRowCount="1" totalsRowCount="0" totalsRowShown="0">
  <x:tableColumns count="10">
    <x:tableColumn id="1" name="Telegram ID"/>
    <x:tableColumn id="2" name="Дата"/>
    <x:tableColumn id="3" name="Post ID"/>
    <x:tableColumn id="4" name="Текст вопроса"/>
    <x:tableColumn id="5" name="Ответ"/>
    <x:tableColumn id="6" name="Источник"/>
    <x:tableColumn id="7" name="Медиа"/>
    <x:tableColumn id="8" name="OCR"/>
    <x:tableColumn id="9" name="Статус"/>
    <x:tableColumn id="10" name="Дубликат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a34146de4949cb" /></Relationships>
</file>

<file path=xl/worksheets/_rels/sheet2.xml.rels>&#65279;<?xml version="1.0" encoding="utf-8"?><Relationships xmlns="http://schemas.openxmlformats.org/package/2006/relationships"><Relationship Type="http://schemas.openxmlformats.org/officeDocument/2006/relationships/table" Target="/xl/tables/table2.xml" Id="R2ba20e606fa14f29" /></Relationships>
</file>

<file path=xl/worksheets/_rels/sheet3.xml.rels>&#65279;<?xml version="1.0" encoding="utf-8"?><Relationships xmlns="http://schemas.openxmlformats.org/package/2006/relationships"><Relationship Type="http://schemas.openxmlformats.org/officeDocument/2006/relationships/table" Target="/xl/tables/table3.xml" Id="R9ea5bde8468240fa" /></Relationships>
</file>

<file path=xl/worksheets/_rels/sheet4.xml.rels>&#65279;<?xml version="1.0" encoding="utf-8"?><Relationships xmlns="http://schemas.openxmlformats.org/package/2006/relationships"><Relationship Type="http://schemas.openxmlformats.org/officeDocument/2006/relationships/drawing" Target="/xl/drawings/drawing1.xml" Id="R2369298a080040de" /></Relationships>
</file>

<file path=xl/worksheets/_rels/sheet5.xml.rels>&#65279;<?xml version="1.0" encoding="utf-8"?><Relationships xmlns="http://schemas.openxmlformats.org/package/2006/relationships"><Relationship Type="http://schemas.openxmlformats.org/officeDocument/2006/relationships/table" Target="/xl/tables/table4.xml" Id="R5f4e9bc38e8c4c23" /></Relationships>
</file>

<file path=xl/worksheets/_rels/sheet6.xml.rels>&#65279;<?xml version="1.0" encoding="utf-8"?><Relationships xmlns="http://schemas.openxmlformats.org/package/2006/relationships"><Relationship Type="http://schemas.openxmlformats.org/officeDocument/2006/relationships/table" Target="/xl/tables/table5.xml" Id="R9d1a13b730df479d"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7" hidden="0" customWidth="1"/>
    <x:col min="3" max="3" width="20" hidden="0" customWidth="1"/>
    <x:col min="4" max="4" width="10" hidden="0" customWidth="1"/>
    <x:col min="5" max="5" width="55" hidden="0" customWidth="1"/>
    <x:col min="6" max="6" width="24" hidden="0" customWidth="1"/>
    <x:col min="7" max="7" width="30" hidden="0" customWidth="1"/>
    <x:col min="8" max="8" width="28" hidden="0" customWidth="1"/>
    <x:col min="9" max="9" width="48" hidden="0" customWidth="1"/>
    <x:col min="10" max="10" width="12" hidden="0" customWidth="1"/>
    <x:col min="11" max="11" width="18" hidden="0" customWidth="1"/>
    <x:col min="12" max="12" width="13" hidden="0" customWidth="1"/>
    <x:col min="13" max="13" width="13" hidden="0" customWidth="1"/>
    <x:col min="14" max="14" width="23" hidden="0" customWidth="1"/>
  </x:cols>
  <x:sheetData>
    <x:row r="1" ht="34" customHeight="1">
      <x:c r="A1" s="5" t="str">
        <x:v>ID</x:v>
      </x:c>
      <x:c r="B1" s="5" t="str">
        <x:v>Раунд</x:v>
      </x:c>
      <x:c r="C1" s="5" t="str">
        <x:v>Название раунда</x:v>
      </x:c>
      <x:c r="D1" s="5" t="str">
        <x:v>№ вопроса</x:v>
      </x:c>
      <x:c r="E1" s="5" t="str">
        <x:v>Текст вопроса</x:v>
      </x:c>
      <x:c r="F1" s="5" t="str">
        <x:v>Ответ</x:v>
      </x:c>
      <x:c r="G1" s="5" t="str">
        <x:v>Механика</x:v>
      </x:c>
      <x:c r="H1" s="5" t="str">
        <x:v>Области</x:v>
      </x:c>
      <x:c r="I1" s="5" t="str">
        <x:v>Цепочка решения</x:v>
      </x:c>
      <x:c r="J1" s="5" t="str">
        <x:v>Сложность 1–10</x:v>
      </x:c>
      <x:c r="K1" s="5" t="str">
        <x:v>Повторяемость механики</x:v>
      </x:c>
      <x:c r="L1" s="5" t="str">
        <x:v>Слайд вопроса</x:v>
      </x:c>
      <x:c r="M1" s="5" t="str">
        <x:v>Слайд ответа</x:v>
      </x:c>
      <x:c r="N1" s="5" t="str">
        <x:v>Источник</x:v>
      </x:c>
    </x:row>
    <x:row r="2">
      <x:c r="A2" s="8" t="n">
        <x:v>1</x:v>
      </x:c>
      <x:c r="B2" s="8" t="n">
        <x:v>1</x:v>
      </x:c>
      <x:c r="C2" s="8" t="str">
        <x:v>Картина маслом</x:v>
      </x:c>
      <x:c r="D2" s="8" t="n">
        <x:v>1</x:v>
      </x:c>
      <x:c r="E2" s="7" t="str">
        <x:v>Эта картина Поля Гогена называется «АЛЬФА». Некоторые называют ОМЕГУ «АЛЬФОЙ спорта». По одной из версий – потому что ОМЕГА включает в себя самые естественные для человека движения. Назовите ОМЕГУ двумя словами.</x:v>
      </x:c>
      <x:c r="F2" s="7" t="str">
        <x:v>Лёгкая атлетика</x:v>
      </x:c>
      <x:c r="G2" s="7" t="str">
        <x:v>Метафора + название картины</x:v>
      </x:c>
      <x:c r="H2" s="7" t="str">
        <x:v>Спорт + живопись</x:v>
      </x:c>
      <x:c r="I2" s="7" t="str">
        <x:v>Гоген → «Альфа» → «королева спорта» → естественные движения → лёгкая атлетика</x:v>
      </x:c>
      <x:c r="J2" s="8" t="n">
        <x:v>5</x:v>
      </x:c>
      <x:c r="K2" s="8" t="str">
        <x:v>Высокая</x:v>
      </x:c>
      <x:c r="L2" s="37" t="n">
        <x:v>5</x:v>
      </x:c>
      <x:c r="M2" s="37" t="n">
        <x:v>12</x:v>
      </x:c>
      <x:c r="N2" s="7" t="str">
        <x:v>Симпл Квиз 2 №6.pptx</x:v>
      </x:c>
    </x:row>
    <x:row r="3">
      <x:c r="A3" s="8" t="n">
        <x:v>2</x:v>
      </x:c>
      <x:c r="B3" s="8" t="n">
        <x:v>1</x:v>
      </x:c>
      <x:c r="C3" s="8" t="str">
        <x:v>Картина маслом</x:v>
      </x:c>
      <x:c r="D3" s="8" t="n">
        <x:v>2</x:v>
      </x:c>
      <x:c r="E3" s="7" t="str">
        <x:v>В московском «Спартаке» играл футболист, чье имя дословно переводится с его родного языка как «Спаситель». И ведь его можно действительно назвать спасителем, ведь он, во-первых, играл в защите, а во-вторых, принес команде долгожданное чемпионство. Возможно, вспомнить его имя вам поможет одна из картин Леонардо да Винчи. Назовите имя и фамилию этого футболиста.</x:v>
      </x:c>
      <x:c r="F3" s="7" t="str">
        <x:v>Сальваторе Боккетти</x:v>
      </x:c>
      <x:c r="G3" s="7" t="str">
        <x:v>Перевод имени + картина</x:v>
      </x:c>
      <x:c r="H3" s="7" t="str">
        <x:v>Футбол + живопись</x:v>
      </x:c>
      <x:c r="I3" s="7" t="str">
        <x:v>Salvatore = спаситель → Salvator Mundi Леонардо → Сальваторе Боккетти</x:v>
      </x:c>
      <x:c r="J3" s="8" t="n">
        <x:v>5</x:v>
      </x:c>
      <x:c r="K3" s="8" t="str">
        <x:v>Высокая</x:v>
      </x:c>
      <x:c r="L3" s="37" t="n">
        <x:v>6</x:v>
      </x:c>
      <x:c r="M3" s="37" t="n">
        <x:v>13</x:v>
      </x:c>
      <x:c r="N3" s="7" t="str">
        <x:v>Симпл Квиз 2 №6.pptx</x:v>
      </x:c>
    </x:row>
    <x:row r="4">
      <x:c r="A4" s="8" t="n">
        <x:v>3</x:v>
      </x:c>
      <x:c r="B4" s="8" t="n">
        <x:v>1</x:v>
      </x:c>
      <x:c r="C4" s="8" t="str">
        <x:v>Картина маслом</x:v>
      </x:c>
      <x:c r="D4" s="8" t="n">
        <x:v>3</x:v>
      </x:c>
      <x:c r="E4" s="7" t="str">
        <x:v>Английским названием картины Рембрандта, написанной в 1642 году и оцененной в 500 миллионов долларов, можно описать то, что делают жители Москвы, предпочитающие смотреть американские виды спорта в прямом эфире. Российское название той же картины Рембрандта носит также один из романов российского писателя, по мотивам которого в 2004 году сняли фильм, собравший 33 миллиона долларов в прокате. Мы не просим назвать российское название картины – назовите его английскую версию.</x:v>
      </x:c>
      <x:c r="F4" s="7" t="str">
        <x:v>The Night Watch</x:v>
      </x:c>
      <x:c r="G4" s="7" t="str">
        <x:v>Оригинальное название произведения</x:v>
      </x:c>
      <x:c r="H4" s="7" t="str">
        <x:v>Живопись + кино</x:v>
      </x:c>
      <x:c r="I4" s="7" t="str">
        <x:v>«Ночной дозор» → The Night Watch → ночной просмотр американского спорта</x:v>
      </x:c>
      <x:c r="J4" s="8" t="n">
        <x:v>6</x:v>
      </x:c>
      <x:c r="K4" s="8" t="str">
        <x:v>Высокая</x:v>
      </x:c>
      <x:c r="L4" s="37" t="n">
        <x:v>7</x:v>
      </x:c>
      <x:c r="M4" s="37" t="n">
        <x:v>14</x:v>
      </x:c>
      <x:c r="N4" s="7" t="str">
        <x:v>Симпл Квиз 2 №6.pptx</x:v>
      </x:c>
    </x:row>
    <x:row r="5">
      <x:c r="A5" s="8" t="n">
        <x:v>4</x:v>
      </x:c>
      <x:c r="B5" s="8" t="n">
        <x:v>1</x:v>
      </x:c>
      <x:c r="C5" s="8" t="str">
        <x:v>Картина маслом</x:v>
      </x:c>
      <x:c r="D5" s="8" t="n">
        <x:v>4</x:v>
      </x:c>
      <x:c r="E5" s="7" t="str">
        <x:v>На ОИ в первой половине XX века встречались медали, присужденные решением жюри, а не судей на арене. Известен даже случай, когда один человек в одном городе получил награду и в спортивной дисциплине, и в такой «жюрийной» номинации. Вокруг допуска особенно часто спорили о профессионализме, хотя формально старались держать планку любительства, как и в остальных видах программы ОИ. Назовите этот раздел программы ОИ.</x:v>
      </x:c>
      <x:c r="F5" s="7" t="str">
        <x:v>Конкурс искусств</x:v>
      </x:c>
      <x:c r="G5" s="7" t="str">
        <x:v>Исторический факт об Олимпиаде</x:v>
      </x:c>
      <x:c r="H5" s="7" t="str">
        <x:v>Олимпиада + искусство</x:v>
      </x:c>
      <x:c r="I5" s="7" t="str">
        <x:v>Медали по решению жюри → олимпийские конкурсы искусств</x:v>
      </x:c>
      <x:c r="J5" s="8" t="n">
        <x:v>7</x:v>
      </x:c>
      <x:c r="K5" s="8" t="str">
        <x:v>Средняя</x:v>
      </x:c>
      <x:c r="L5" s="37" t="n">
        <x:v>8</x:v>
      </x:c>
      <x:c r="M5" s="37" t="n">
        <x:v>15</x:v>
      </x:c>
      <x:c r="N5" s="7" t="str">
        <x:v>Симпл Квиз 2 №6.pptx</x:v>
      </x:c>
    </x:row>
    <x:row r="6">
      <x:c r="A6" s="8" t="n">
        <x:v>5</x:v>
      </x:c>
      <x:c r="B6" s="8" t="n">
        <x:v>1</x:v>
      </x:c>
      <x:c r="C6" s="8" t="str">
        <x:v>Картина маслом</x:v>
      </x:c>
      <x:c r="D6" s="8" t="n">
        <x:v>5</x:v>
      </x:c>
      <x:c r="E6" s="7" t="str">
        <x:v>Эта инсталляция Елены Павловой называется «Я готов рассказать тебе ЗАМЕНА». «Я готов рассказать тебе ЗАМЕНА» – строчка из стихотворения Сергея Есенина «Шаганэ ты моя, Шаганэ...» Площадь ЗАМЕН, которые чаще других показывают по спортивному ТВ, варьируется от 4050 до 10800 квадратных метров. Какое слово мы зашифровали под ЗАМЕНОЙ?</x:v>
      </x:c>
      <x:c r="F6" s="7" t="str">
        <x:v>Поле</x:v>
      </x:c>
      <x:c r="G6" s="7" t="str">
        <x:v>Замена слова + цитата</x:v>
      </x:c>
      <x:c r="H6" s="7" t="str">
        <x:v>Поэзия + спорт</x:v>
      </x:c>
      <x:c r="I6" s="7" t="str">
        <x:v>Есенин: «рассказать тебе поле» → площадь спортивных полей</x:v>
      </x:c>
      <x:c r="J6" s="8" t="n">
        <x:v>4</x:v>
      </x:c>
      <x:c r="K6" s="8" t="str">
        <x:v>Высокая</x:v>
      </x:c>
      <x:c r="L6" s="37" t="n">
        <x:v>9</x:v>
      </x:c>
      <x:c r="M6" s="37" t="n">
        <x:v>16</x:v>
      </x:c>
      <x:c r="N6" s="7" t="str">
        <x:v>Симпл Квиз 2 №6.pptx</x:v>
      </x:c>
    </x:row>
    <x:row r="7">
      <x:c r="A7" s="8" t="n">
        <x:v>6</x:v>
      </x:c>
      <x:c r="B7" s="8" t="n">
        <x:v>1</x:v>
      </x:c>
      <x:c r="C7" s="8" t="str">
        <x:v>Картина маслом</x:v>
      </x:c>
      <x:c r="D7" s="8" t="n">
        <x:v>6</x:v>
      </x:c>
      <x:c r="E7" s="7" t="str">
        <x:v>«ИКС» – футбольный клуб, который пять раз становился чемпионом Бельгии. В последний раз это произошло в сезоне-2022/23. В сезоне-2025/26 за ИКС выступают такие футболисты, как Тоби Алдервейрелд и Винсент Янссен. В декабре 1885 года Винсент ван Гог написал как минимум семь работ в городе ИКС. Среди них – пейзаж города, который вы видите на слайде. Назовите ИКС.</x:v>
      </x:c>
      <x:c r="F7" s="7" t="str">
        <x:v>Антверпен</x:v>
      </x:c>
      <x:c r="G7" s="7" t="str">
        <x:v>Географический омоним</x:v>
      </x:c>
      <x:c r="H7" s="7" t="str">
        <x:v>Футбол + живопись</x:v>
      </x:c>
      <x:c r="I7" s="7" t="str">
        <x:v>ФК «Антверпен» → город Антверпен → работы Ван Гога</x:v>
      </x:c>
      <x:c r="J7" s="8" t="n">
        <x:v>5</x:v>
      </x:c>
      <x:c r="K7" s="8" t="str">
        <x:v>Высокая</x:v>
      </x:c>
      <x:c r="L7" s="37" t="n">
        <x:v>10</x:v>
      </x:c>
      <x:c r="M7" s="37" t="n">
        <x:v>17</x:v>
      </x:c>
      <x:c r="N7" s="7" t="str">
        <x:v>Симпл Квиз 2 №6.pptx</x:v>
      </x:c>
    </x:row>
    <x:row r="8">
      <x:c r="A8" s="8" t="n">
        <x:v>7</x:v>
      </x:c>
      <x:c r="B8" s="8" t="n">
        <x:v>2</x:v>
      </x:c>
      <x:c r="C8" s="8" t="str">
        <x:v>Экзамены</x:v>
      </x:c>
      <x:c r="D8" s="8" t="n">
        <x:v>1</x:v>
      </x:c>
      <x:c r="E8" s="7" t="str">
        <x:v>ПО БИОЛОГИИ ЕЕ фамилия – производное от слова, вместо которого в старину использовали слова «скоромча», «выторопень», «ушкан», «кривень». ОНА – российская биатлонистка, дважды выигрывавшая Олимпийские игры, и оба раза – в эстафете. Назовите ЕЕ.</x:v>
      </x:c>
      <x:c r="F8" s="7" t="str">
        <x:v>Зайцева</x:v>
      </x:c>
      <x:c r="G8" s="7" t="str">
        <x:v>Этимология фамилии</x:v>
      </x:c>
      <x:c r="H8" s="7" t="str">
        <x:v>Биатлон + язык</x:v>
      </x:c>
      <x:c r="I8" s="7" t="str">
        <x:v>Старинные слова для зайца → фамилия Зайцева</x:v>
      </x:c>
      <x:c r="J8" s="8" t="n">
        <x:v>4</x:v>
      </x:c>
      <x:c r="K8" s="8" t="str">
        <x:v>Высокая</x:v>
      </x:c>
      <x:c r="L8" s="37" t="n">
        <x:v>20</x:v>
      </x:c>
      <x:c r="M8" s="37" t="n">
        <x:v>27</x:v>
      </x:c>
      <x:c r="N8" s="7" t="str">
        <x:v>Симпл Квиз 2 №6.pptx</x:v>
      </x:c>
    </x:row>
    <x:row r="9">
      <x:c r="A9" s="8" t="n">
        <x:v>8</x:v>
      </x:c>
      <x:c r="B9" s="8" t="n">
        <x:v>2</x:v>
      </x:c>
      <x:c r="C9" s="8" t="str">
        <x:v>Экзамены</x:v>
      </x:c>
      <x:c r="D9" s="8" t="n">
        <x:v>2</x:v>
      </x:c>
      <x:c r="E9" s="7" t="str">
        <x:v>ПО РУССКОМУ ЯЗЫКУ ЗАМЕНА одержала более чем в 11 раз больше побед, чем проиграла матчей. Все спортсмены в виде спорта, в котором прославилась ЗАМЕНА, рано или поздно оказываются на ЗАМЕНЕ. А самые достойные оказываются на ЗАМЕНЕ, названном в честь ЗАМЕНЫ. Назовите ЗАМЕНУ.</x:v>
      </x:c>
      <x:c r="F9" s="7" t="str">
        <x:v>Корт</x:v>
      </x:c>
      <x:c r="G9" s="7" t="str">
        <x:v>Многозначное слово</x:v>
      </x:c>
      <x:c r="H9" s="7" t="str">
        <x:v>Теннис + язык</x:v>
      </x:c>
      <x:c r="I9" s="7" t="str">
        <x:v>Маргарет Корт → теннисный корт → корт имени Корт</x:v>
      </x:c>
      <x:c r="J9" s="8" t="n">
        <x:v>5</x:v>
      </x:c>
      <x:c r="K9" s="8" t="str">
        <x:v>Высокая</x:v>
      </x:c>
      <x:c r="L9" s="37" t="n">
        <x:v>21</x:v>
      </x:c>
      <x:c r="M9" s="37" t="n">
        <x:v>28</x:v>
      </x:c>
      <x:c r="N9" s="7" t="str">
        <x:v>Симпл Квиз 2 №6.pptx</x:v>
      </x:c>
    </x:row>
    <x:row r="10">
      <x:c r="A10" s="8" t="n">
        <x:v>9</x:v>
      </x:c>
      <x:c r="B10" s="8" t="n">
        <x:v>2</x:v>
      </x:c>
      <x:c r="C10" s="8" t="str">
        <x:v>Экзамены</x:v>
      </x:c>
      <x:c r="D10" s="8" t="n">
        <x:v>3</x:v>
      </x:c>
      <x:c r="E10" s="7" t="str">
        <x:v>ПО ИНОСТРАННОМУ ЯЗЫКУ ЗАМЕНА переводится как «пустая рука». В 2020 году ЗАМЕНА впервые стало частью Олимпиады, однако ненадолго: в 2024 году Летние Игры снова прошли без ЗАМЕНЫ. Назовите ЗАМЕНУ.</x:v>
      </x:c>
      <x:c r="F10" s="7" t="str">
        <x:v>Каратэ</x:v>
      </x:c>
      <x:c r="G10" s="7" t="str">
        <x:v>Перевод термина</x:v>
      </x:c>
      <x:c r="H10" s="7" t="str">
        <x:v>Единоборства + язык</x:v>
      </x:c>
      <x:c r="I10" s="7" t="str">
        <x:v>Karate = пустая рука → олимпийская дисциплина</x:v>
      </x:c>
      <x:c r="J10" s="8" t="n">
        <x:v>3</x:v>
      </x:c>
      <x:c r="K10" s="8" t="str">
        <x:v>Высокая</x:v>
      </x:c>
      <x:c r="L10" s="37" t="n">
        <x:v>22</x:v>
      </x:c>
      <x:c r="M10" s="37" t="n">
        <x:v>29</x:v>
      </x:c>
      <x:c r="N10" s="7" t="str">
        <x:v>Симпл Квиз 2 №6.pptx</x:v>
      </x:c>
    </x:row>
    <x:row r="11">
      <x:c r="A11" s="8" t="n">
        <x:v>10</x:v>
      </x:c>
      <x:c r="B11" s="8" t="n">
        <x:v>2</x:v>
      </x:c>
      <x:c r="C11" s="8" t="str">
        <x:v>Экзамены</x:v>
      </x:c>
      <x:c r="D11" s="8" t="n">
        <x:v>4</x:v>
      </x:c>
      <x:c r="E11" s="7" t="str">
        <x:v>В этом вопросе речь идет о пятой теннисистке в истории по количеству призовых. ОНА – пятая теннисистка в истории по заработанным призовым. Первые ОНИ возникли еще в Римской империи. А в 877 году король Карл II Лысый постановил, что им теперь можно стать по наследству. Назовите эту теннисистку. ПО ИСТОРИИ</x:v>
      </x:c>
      <x:c r="F11" s="7" t="str">
        <x:v>Граф</x:v>
      </x:c>
      <x:c r="G11" s="7" t="str">
        <x:v>Фамилия = титул</x:v>
      </x:c>
      <x:c r="H11" s="7" t="str">
        <x:v>Теннис + история</x:v>
      </x:c>
      <x:c r="I11" s="7" t="str">
        <x:v>Штеффи Граф → граф как наследственный титул</x:v>
      </x:c>
      <x:c r="J11" s="8" t="n">
        <x:v>5</x:v>
      </x:c>
      <x:c r="K11" s="8" t="str">
        <x:v>Высокая</x:v>
      </x:c>
      <x:c r="L11" s="37" t="n">
        <x:v>23</x:v>
      </x:c>
      <x:c r="M11" s="37" t="n">
        <x:v>30</x:v>
      </x:c>
      <x:c r="N11" s="7" t="str">
        <x:v>Симпл Квиз 2 №6.pptx</x:v>
      </x:c>
    </x:row>
    <x:row r="12">
      <x:c r="A12" s="8" t="n">
        <x:v>11</x:v>
      </x:c>
      <x:c r="B12" s="8" t="n">
        <x:v>2</x:v>
      </x:c>
      <x:c r="C12" s="8" t="str">
        <x:v>Экзамены</x:v>
      </x:c>
      <x:c r="D12" s="8" t="n">
        <x:v>5</x:v>
      </x:c>
      <x:c r="E12" s="7" t="str">
        <x:v>ПО ЛИТЕРАТУРЕ ИКС выиграл девять титулов с «Баварией» за три года. С сезона-2016-2017 он выступает в другой стране, будучи капитаном команды из топ-5 лиг. Другой ИКС написал главное произведение примерно за 700 лет до старта карьеры футбольного ИКСА. Назовите ИКС.</x:v>
      </x:c>
      <x:c r="F12" s="7" t="str">
        <x:v>Данте</x:v>
      </x:c>
      <x:c r="G12" s="7" t="str">
        <x:v>Совпадение имени</x:v>
      </x:c>
      <x:c r="H12" s="7" t="str">
        <x:v>Футбол + литература</x:v>
      </x:c>
      <x:c r="I12" s="7" t="str">
        <x:v>Данте-футболист → Данте Алигьери</x:v>
      </x:c>
      <x:c r="J12" s="8" t="n">
        <x:v>4</x:v>
      </x:c>
      <x:c r="K12" s="8" t="str">
        <x:v>Высокая</x:v>
      </x:c>
      <x:c r="L12" s="37" t="n">
        <x:v>24</x:v>
      </x:c>
      <x:c r="M12" s="37" t="n">
        <x:v>31</x:v>
      </x:c>
      <x:c r="N12" s="7" t="str">
        <x:v>Симпл Квиз 2 №6.pptx</x:v>
      </x:c>
    </x:row>
    <x:row r="13">
      <x:c r="A13" s="8" t="n">
        <x:v>12</x:v>
      </x:c>
      <x:c r="B13" s="8" t="n">
        <x:v>2</x:v>
      </x:c>
      <x:c r="C13" s="8" t="str">
        <x:v>Экзамены</x:v>
      </x:c>
      <x:c r="D13" s="8" t="n">
        <x:v>6</x:v>
      </x:c>
      <x:c r="E13" s="7" t="str">
        <x:v>ПО МАТЕМАТИКЕ ИКС – один из создателей математического анализа. Благодаря ИКСАМ стало намного проще считать, кто – или что – сильнее. А еще ИКС – квотербек, которого пикнули под первым номером в 2011 году. Почти всю карьеру он провел в одной команде, на сезон заглянув в «Пэтриотс». Назовите ИКС.</x:v>
      </x:c>
      <x:c r="F13" s="7" t="str">
        <x:v>Ньютон</x:v>
      </x:c>
      <x:c r="G13" s="7" t="str">
        <x:v>Совпадение фамилии</x:v>
      </x:c>
      <x:c r="H13" s="7" t="str">
        <x:v>Математика + NFL</x:v>
      </x:c>
      <x:c r="I13" s="7" t="str">
        <x:v>Исаак Ньютон → ньютоны → Кэм Ньютон</x:v>
      </x:c>
      <x:c r="J13" s="8" t="n">
        <x:v>4</x:v>
      </x:c>
      <x:c r="K13" s="8" t="str">
        <x:v>Высокая</x:v>
      </x:c>
      <x:c r="L13" s="37" t="n">
        <x:v>25</x:v>
      </x:c>
      <x:c r="M13" s="37" t="n">
        <x:v>32</x:v>
      </x:c>
      <x:c r="N13" s="7" t="str">
        <x:v>Симпл Квиз 2 №6.pptx</x:v>
      </x:c>
    </x:row>
    <x:row r="14">
      <x:c r="A14" s="8" t="n">
        <x:v>13</x:v>
      </x:c>
      <x:c r="B14" s="8" t="n">
        <x:v>3</x:v>
      </x:c>
      <x:c r="C14" s="8" t="str">
        <x:v>География</x:v>
      </x:c>
      <x:c r="D14" s="8" t="n">
        <x:v>1</x:v>
      </x:c>
      <x:c r="E14" s="7" t="str">
        <x:v>В топ-7 легионеров АПЛ по минутам в истории входят австралиец, француз, два ирландца, американец, чех, представитель этой страны. Эта страна на протяжении 9 лет лидирует в рейтинге всемирного доклада о счастье: согласно опросам, жители этой страны счастливее остальных уже долгие годы. В фамилии вышеупомянутого легионера три одинаковых гласных, которых нет в кириллическом алфавите. О какой стране идет речь?</x:v>
      </x:c>
      <x:c r="F14" s="7" t="str">
        <x:v>Финляндия</x:v>
      </x:c>
      <x:c r="G14" s="7" t="str">
        <x:v>Страна через спортсмена и статистику</x:v>
      </x:c>
      <x:c r="H14" s="7" t="str">
        <x:v>Футбол + география</x:v>
      </x:c>
      <x:c r="I14" s="7" t="str">
        <x:v>Легионер АПЛ с тремя y → счастливая страна → Финляндия</x:v>
      </x:c>
      <x:c r="J14" s="8" t="n">
        <x:v>7</x:v>
      </x:c>
      <x:c r="K14" s="8" t="str">
        <x:v>Средняя</x:v>
      </x:c>
      <x:c r="L14" s="37" t="n">
        <x:v>35</x:v>
      </x:c>
      <x:c r="M14" s="37" t="n">
        <x:v>42</x:v>
      </x:c>
      <x:c r="N14" s="7" t="str">
        <x:v>Симпл Квиз 2 №6.pptx</x:v>
      </x:c>
    </x:row>
    <x:row r="15">
      <x:c r="A15" s="8" t="n">
        <x:v>14</x:v>
      </x:c>
      <x:c r="B15" s="8" t="n">
        <x:v>3</x:v>
      </x:c>
      <x:c r="C15" s="8" t="str">
        <x:v>География</x:v>
      </x:c>
      <x:c r="D15" s="8" t="n">
        <x:v>2</x:v>
      </x:c>
      <x:c r="E15" s="7" t="str">
        <x:v>Его фамилия стоит в Книге рекордов Гиннесса в записи про достижения для конкретной дисциплины: 12 золотых медалей на чемпионатах мира и Олимпиадах суммарно. Там же упоминается, что в течение шести лет соперники не набирали против рекордсмена ни одного балла, а почти 13 лет его строка «поражения» оставалась пустой. Если в этой фамилии заменить одну букву, то получится субъект РФ. Назовите спортсмена.</x:v>
      </x:c>
      <x:c r="F15" s="7" t="str">
        <x:v>Карелин</x:v>
      </x:c>
      <x:c r="G15" s="7" t="str">
        <x:v>Замена одной буквы</x:v>
      </x:c>
      <x:c r="H15" s="7" t="str">
        <x:v>Борьба + география</x:v>
      </x:c>
      <x:c r="I15" s="7" t="str">
        <x:v>Карелин → заменить букву → Карелия</x:v>
      </x:c>
      <x:c r="J15" s="8" t="n">
        <x:v>5</x:v>
      </x:c>
      <x:c r="K15" s="8" t="str">
        <x:v>Высокая</x:v>
      </x:c>
      <x:c r="L15" s="37" t="n">
        <x:v>36</x:v>
      </x:c>
      <x:c r="M15" s="37" t="n">
        <x:v>43</x:v>
      </x:c>
      <x:c r="N15" s="7" t="str">
        <x:v>Симпл Квиз 2 №6.pptx</x:v>
      </x:c>
    </x:row>
    <x:row r="16">
      <x:c r="A16" s="8" t="n">
        <x:v>15</x:v>
      </x:c>
      <x:c r="B16" s="8" t="n">
        <x:v>3</x:v>
      </x:c>
      <x:c r="C16" s="8" t="str">
        <x:v>География</x:v>
      </x:c>
      <x:c r="D16" s="8" t="n">
        <x:v>3</x:v>
      </x:c>
      <x:c r="E16" s="7" t="str">
        <x:v>ИКС – город на тихоокеанском побережье Южной Америки. Согласно данным 2023 года, в нем проживает 9,7 миллиона человек. ИКС – экс-футболист «Локомотива» и московского «Динамо». В РПЛ он приехал из Серии А. Его достижения – чемпион России, обладатель Суперкубка России и Кубка Италии. Назовите ИКС.</x:v>
      </x:c>
      <x:c r="F16" s="7" t="str">
        <x:v>Лима</x:v>
      </x:c>
      <x:c r="G16" s="7" t="str">
        <x:v>Город = фамилия</x:v>
      </x:c>
      <x:c r="H16" s="7" t="str">
        <x:v>Футбол + география</x:v>
      </x:c>
      <x:c r="I16" s="7" t="str">
        <x:v>Лима-город → Мануэл Фернандеш Лима</x:v>
      </x:c>
      <x:c r="J16" s="8" t="n">
        <x:v>5</x:v>
      </x:c>
      <x:c r="K16" s="8" t="str">
        <x:v>Высокая</x:v>
      </x:c>
      <x:c r="L16" s="37" t="n">
        <x:v>37</x:v>
      </x:c>
      <x:c r="M16" s="37" t="n">
        <x:v>44</x:v>
      </x:c>
      <x:c r="N16" s="7" t="str">
        <x:v>Симпл Квиз 2 №6.pptx</x:v>
      </x:c>
    </x:row>
    <x:row r="17">
      <x:c r="A17" s="8" t="n">
        <x:v>16</x:v>
      </x:c>
      <x:c r="B17" s="8" t="n">
        <x:v>3</x:v>
      </x:c>
      <x:c r="C17" s="8" t="str">
        <x:v>География</x:v>
      </x:c>
      <x:c r="D17" s="8" t="n">
        <x:v>4</x:v>
      </x:c>
      <x:c r="E17" s="7" t="str">
        <x:v>Это флаг страны, которая участвовала на ЧМ в 1974 году, а в 1997 году стала ИКСОМ. В РПЛ-2025/26 принял участие лишь один футболист из ИКСА: это игрок московского «Спартака». А в разные годы футболисты из ИКСА играли за «Терек», «Сочи», «Спартака» Нальчик, «Рубин», «Волгу» и «Крылья Советов». Назовите ИКС.</x:v>
      </x:c>
      <x:c r="F17" s="7" t="str">
        <x:v>Конго</x:v>
      </x:c>
      <x:c r="G17" s="7" t="str">
        <x:v>Историческое переименование страны</x:v>
      </x:c>
      <x:c r="H17" s="7" t="str">
        <x:v>Футбол + геополитика</x:v>
      </x:c>
      <x:c r="I17" s="7" t="str">
        <x:v>Заир → Демократическая Республика Конго → Конго</x:v>
      </x:c>
      <x:c r="J17" s="8" t="n">
        <x:v>6</x:v>
      </x:c>
      <x:c r="K17" s="8" t="str">
        <x:v>Средняя</x:v>
      </x:c>
      <x:c r="L17" s="37" t="n">
        <x:v>38</x:v>
      </x:c>
      <x:c r="M17" s="37" t="n">
        <x:v>45</x:v>
      </x:c>
      <x:c r="N17" s="7" t="str">
        <x:v>Симпл Квиз 2 №6.pptx</x:v>
      </x:c>
    </x:row>
    <x:row r="18">
      <x:c r="A18" s="8" t="n">
        <x:v>17</x:v>
      </x:c>
      <x:c r="B18" s="8" t="n">
        <x:v>3</x:v>
      </x:c>
      <x:c r="C18" s="8" t="str">
        <x:v>География</x:v>
      </x:c>
      <x:c r="D18" s="8" t="n">
        <x:v>5</x:v>
      </x:c>
      <x:c r="E18" s="7" t="str">
        <x:v>В русском названии загаданного города есть фамилия футболиста, признанного лучшим игроком чемпионата мира 2002 года. В той же стране есть профессиональный клуб, который по-русски называют ровно этой фамилией, но он базируется в другом городе. Путаницу усиливает то, что название загаданного города в русской традиции обычно употребляют во множественном числе, хотя в заголовках его иногда сокращают до одного слога. В мае в этом городе традиционно проходит крупное культурное событие. Назовите этот город.</x:v>
      </x:c>
      <x:c r="F18" s="7" t="str">
        <x:v>Канны</x:v>
      </x:c>
      <x:c r="G18" s="7" t="str">
        <x:v>Слово внутри топонима</x:v>
      </x:c>
      <x:c r="H18" s="7" t="str">
        <x:v>Футбол + кино + география</x:v>
      </x:c>
      <x:c r="I18" s="7" t="str">
        <x:v>Кан + Канны → Каннский фестиваль</x:v>
      </x:c>
      <x:c r="J18" s="8" t="n">
        <x:v>5</x:v>
      </x:c>
      <x:c r="K18" s="8" t="str">
        <x:v>Высокая</x:v>
      </x:c>
      <x:c r="L18" s="37" t="n">
        <x:v>39</x:v>
      </x:c>
      <x:c r="M18" s="37" t="n">
        <x:v>46</x:v>
      </x:c>
      <x:c r="N18" s="7" t="str">
        <x:v>Симпл Квиз 2 №6.pptx</x:v>
      </x:c>
    </x:row>
    <x:row r="19">
      <x:c r="A19" s="8" t="n">
        <x:v>18</x:v>
      </x:c>
      <x:c r="B19" s="8" t="n">
        <x:v>3</x:v>
      </x:c>
      <x:c r="C19" s="8" t="str">
        <x:v>География</x:v>
      </x:c>
      <x:c r="D19" s="8" t="n">
        <x:v>6</x:v>
      </x:c>
      <x:c r="E19" s="7" t="str">
        <x:v>Ирландцы – 406 085 (5,5%); итальянцы – 299 655 (4%); англичане – 245 155 (3,3%); индейцы – 219 815 (3%); шотландцы – 202 515 (2,7%). Это статистика этнического состава одного административного региона в 2021 году. Две верхние строки рейтинга мы вам не показали. В столице этого региона одна национальная сборная завоевала золото чемпионата мира, прервав безвыигрышную серию, длившуюся более десяти лет. Назовите этот город.</x:v>
      </x:c>
      <x:c r="F19" s="7" t="str">
        <x:v>Квебек</x:v>
      </x:c>
      <x:c r="G19" s="7" t="str">
        <x:v>Спортивное событие через город</x:v>
      </x:c>
      <x:c r="H19" s="7" t="str">
        <x:v>Хоккей + география</x:v>
      </x:c>
      <x:c r="I19" s="7" t="str">
        <x:v>Этнический состав Квебека → столица Квебек → чемпионат мира</x:v>
      </x:c>
      <x:c r="J19" s="8" t="n">
        <x:v>7</x:v>
      </x:c>
      <x:c r="K19" s="8" t="str">
        <x:v>Средняя</x:v>
      </x:c>
      <x:c r="L19" s="37" t="n">
        <x:v>40</x:v>
      </x:c>
      <x:c r="M19" s="37" t="n">
        <x:v>47</x:v>
      </x:c>
      <x:c r="N19" s="7" t="str">
        <x:v>Симпл Квиз 2 №6.pptx</x:v>
      </x:c>
    </x:row>
    <x:row r="20">
      <x:c r="A20" s="8" t="n">
        <x:v>19</x:v>
      </x:c>
      <x:c r="B20" s="8" t="n">
        <x:v>4</x:v>
      </x:c>
      <x:c r="C20" s="8" t="str">
        <x:v>American Sports</x:v>
      </x:c>
      <x:c r="D20" s="8" t="n">
        <x:v>1</x:v>
      </x:c>
      <x:c r="E20" s="7" t="str">
        <x:v>10 февраля «Миннесота Тимбервулвз» эффектно стилизовала box score матча с «Атлантой». Рядом с фамилиями игроков была сумма набранных очков, записанная в необычном формате: Энтони Эдвардс – 30.00, Айо Досунму – 21.00, Джулиус Рэндл – 18.00 и так далее. Ниже, под чертой, было еще три строчки: субтотал, бонусные попадания и тотал. Под что сммщики «Миннесоты» стилизовали послематчевую картинку?</x:v>
      </x:c>
      <x:c r="F20" s="7" t="str">
        <x:v>Чек</x:v>
      </x:c>
      <x:c r="G20" s="7" t="str">
        <x:v>Визуальная стилизация</x:v>
      </x:c>
      <x:c r="H20" s="7" t="str">
        <x:v>NBA + соцсети</x:v>
      </x:c>
      <x:c r="I20" s="7" t="str">
        <x:v>Очки с .00 + subtotal + total → ресторанный чек</x:v>
      </x:c>
      <x:c r="J20" s="8" t="n">
        <x:v>4</x:v>
      </x:c>
      <x:c r="K20" s="8" t="str">
        <x:v>Высокая</x:v>
      </x:c>
      <x:c r="L20" s="37" t="n">
        <x:v>50</x:v>
      </x:c>
      <x:c r="M20" s="37" t="n">
        <x:v>57</x:v>
      </x:c>
      <x:c r="N20" s="7" t="str">
        <x:v>Симпл Квиз 2 №6.pptx</x:v>
      </x:c>
    </x:row>
    <x:row r="21">
      <x:c r="A21" s="8" t="n">
        <x:v>20</x:v>
      </x:c>
      <x:c r="B21" s="8" t="n">
        <x:v>4</x:v>
      </x:c>
      <x:c r="C21" s="8" t="str">
        <x:v>American Sports</x:v>
      </x:c>
      <x:c r="D21" s="8" t="n">
        <x:v>2</x:v>
      </x:c>
      <x:c r="E21" s="7" t="str">
        <x:v>В 1990 году 74% игроков НХЛ были ИМИ, а в 2025 году – лишь 42%. Кого мы зашифровали под НИМИ?</x:v>
      </x:c>
      <x:c r="F21" s="7" t="str">
        <x:v>Канадцы</x:v>
      </x:c>
      <x:c r="G21" s="7" t="str">
        <x:v>Демографическая статистика</x:v>
      </x:c>
      <x:c r="H21" s="7" t="str">
        <x:v>NHL + демография</x:v>
      </x:c>
      <x:c r="I21" s="7" t="str">
        <x:v>Доля игроков НХЛ по годам → канадцы</x:v>
      </x:c>
      <x:c r="J21" s="8" t="n">
        <x:v>3</x:v>
      </x:c>
      <x:c r="K21" s="8" t="str">
        <x:v>Средняя</x:v>
      </x:c>
      <x:c r="L21" s="37" t="n">
        <x:v>51</x:v>
      </x:c>
      <x:c r="M21" s="37" t="n">
        <x:v>58</x:v>
      </x:c>
      <x:c r="N21" s="7" t="str">
        <x:v>Симпл Квиз 2 №6.pptx</x:v>
      </x:c>
    </x:row>
    <x:row r="22">
      <x:c r="A22" s="8" t="n">
        <x:v>21</x:v>
      </x:c>
      <x:c r="B22" s="8" t="n">
        <x:v>4</x:v>
      </x:c>
      <x:c r="C22" s="8" t="str">
        <x:v>American Sports</x:v>
      </x:c>
      <x:c r="D22" s="8" t="n">
        <x:v>3</x:v>
      </x:c>
      <x:c r="E22" s="7" t="str">
        <x:v>То, что трижды можно найти в чемпионате Испании, есть и в MLS. О чем речь? Возможно, ответить на вопрос вам поможет событие, произошедшее в феврале 2002 года.</x:v>
      </x:c>
      <x:c r="F22" s="7" t="str">
        <x:v>Реал (Солт-Лейк)</x:v>
      </x:c>
      <x:c r="G22" s="7" t="str">
        <x:v>Одинаковое название клуба</x:v>
      </x:c>
      <x:c r="H22" s="7" t="str">
        <x:v>Футбол + MLS</x:v>
      </x:c>
      <x:c r="I22" s="7" t="str">
        <x:v>Три «Реала» в Испании → Real Salt Lake → Олимпиада-2002</x:v>
      </x:c>
      <x:c r="J22" s="8" t="n">
        <x:v>5</x:v>
      </x:c>
      <x:c r="K22" s="8" t="str">
        <x:v>Высокая</x:v>
      </x:c>
      <x:c r="L22" s="37" t="n">
        <x:v>52</x:v>
      </x:c>
      <x:c r="M22" s="37" t="n">
        <x:v>59</x:v>
      </x:c>
      <x:c r="N22" s="7" t="str">
        <x:v>Симпл Квиз 2 №6.pptx</x:v>
      </x:c>
    </x:row>
    <x:row r="23">
      <x:c r="A23" s="8" t="n">
        <x:v>22</x:v>
      </x:c>
      <x:c r="B23" s="8" t="n">
        <x:v>4</x:v>
      </x:c>
      <x:c r="C23" s="8" t="str">
        <x:v>American Sports</x:v>
      </x:c>
      <x:c r="D23" s="8" t="n">
        <x:v>4</x:v>
      </x:c>
      <x:c r="E23" s="7" t="str">
        <x:v>В 1967 году ОНА стоила 360 тысяч долларов, в 2026-м – уже 8 миллионов. Довольно дорогое 30-секундное удовольствие. Назовите ЕЕ.</x:v>
      </x:c>
      <x:c r="F23" s="7" t="str">
        <x:v>Реклама во время Супербоула</x:v>
      </x:c>
      <x:c r="G23" s="7" t="str">
        <x:v>Цена рекламного формата</x:v>
      </x:c>
      <x:c r="H23" s="7" t="str">
        <x:v>NFL + реклама</x:v>
      </x:c>
      <x:c r="I23" s="7" t="str">
        <x:v>30 секунд + рост стоимости → реклама Супербоула</x:v>
      </x:c>
      <x:c r="J23" s="8" t="n">
        <x:v>3</x:v>
      </x:c>
      <x:c r="K23" s="8" t="str">
        <x:v>Средняя</x:v>
      </x:c>
      <x:c r="L23" s="37" t="n">
        <x:v>53</x:v>
      </x:c>
      <x:c r="M23" s="37" t="n">
        <x:v>60</x:v>
      </x:c>
      <x:c r="N23" s="7" t="str">
        <x:v>Симпл Квиз 2 №6.pptx</x:v>
      </x:c>
    </x:row>
    <x:row r="24">
      <x:c r="A24" s="8" t="n">
        <x:v>23</x:v>
      </x:c>
      <x:c r="B24" s="8" t="n">
        <x:v>4</x:v>
      </x:c>
      <x:c r="C24" s="8" t="str">
        <x:v>American Sports</x:v>
      </x:c>
      <x:c r="D24" s="8" t="n">
        <x:v>5</x:v>
      </x:c>
      <x:c r="E24" s="7" t="str">
        <x:v>Легендарный баскетбольный тренер Пэт Райли сказал: «Я думаю, что аудитория хочет видеть за пределами паркета кого-то, кто выглядит как лидер, одет как лидер и ведет себя как лидер». Поэтому он предложил тренерам НБА сделать ЭТО. Что предложил сделать тренерам НБА Пэт Райли?</x:v>
      </x:c>
      <x:c r="F24" s="7" t="str">
        <x:v>Носить костюм</x:v>
      </x:c>
      <x:c r="G24" s="7" t="str">
        <x:v>Цитата → действие</x:v>
      </x:c>
      <x:c r="H24" s="7" t="str">
        <x:v>NBA + стиль</x:v>
      </x:c>
      <x:c r="I24" s="7" t="str">
        <x:v>Выглядеть как лидер → тренерам носить костюм</x:v>
      </x:c>
      <x:c r="J24" s="8" t="n">
        <x:v>3</x:v>
      </x:c>
      <x:c r="K24" s="8" t="str">
        <x:v>Средняя</x:v>
      </x:c>
      <x:c r="L24" s="37" t="n">
        <x:v>54</x:v>
      </x:c>
      <x:c r="M24" s="37" t="n">
        <x:v>61</x:v>
      </x:c>
      <x:c r="N24" s="7" t="str">
        <x:v>Симпл Квиз 2 №6.pptx</x:v>
      </x:c>
    </x:row>
    <x:row r="25">
      <x:c r="A25" s="8" t="n">
        <x:v>24</x:v>
      </x:c>
      <x:c r="B25" s="8" t="n">
        <x:v>4</x:v>
      </x:c>
      <x:c r="C25" s="8" t="str">
        <x:v>American Sports</x:v>
      </x:c>
      <x:c r="D25" s="8" t="n">
        <x:v>6</x:v>
      </x:c>
      <x:c r="E25" s="7" t="str">
        <x:v>ОН – рекордсмен НФЛ по тачдаунам с передач: он 197 раз принимал мяч в зачетной зоне. ОНА – 66-й государственный секретарь США. Назовите их фамилию.</x:v>
      </x:c>
      <x:c r="F25" s="7" t="str">
        <x:v>Райс</x:v>
      </x:c>
      <x:c r="G25" s="7" t="str">
        <x:v>Совпадение фамилии</x:v>
      </x:c>
      <x:c r="H25" s="7" t="str">
        <x:v>NFL + политика</x:v>
      </x:c>
      <x:c r="I25" s="7" t="str">
        <x:v>Джерри Райс → Кондолиза Райс</x:v>
      </x:c>
      <x:c r="J25" s="8" t="n">
        <x:v>4</x:v>
      </x:c>
      <x:c r="K25" s="8" t="str">
        <x:v>Высокая</x:v>
      </x:c>
      <x:c r="L25" s="37" t="n">
        <x:v>55</x:v>
      </x:c>
      <x:c r="M25" s="37" t="n">
        <x:v>62</x:v>
      </x:c>
      <x:c r="N25" s="7" t="str">
        <x:v>Симпл Квиз 2 №6.pptx</x:v>
      </x:c>
    </x:row>
    <x:row r="26">
      <x:c r="A26" s="8" t="n">
        <x:v>25</x:v>
      </x:c>
      <x:c r="B26" s="8" t="n">
        <x:v>5</x:v>
      </x:c>
      <x:c r="C26" s="8" t="str">
        <x:v>Музыкальный</x:v>
      </x:c>
      <x:c r="D26" s="8" t="n">
        <x:v>1</x:v>
      </x:c>
      <x:c r="E26" s="7" t="str">
        <x:v>Одна из песен группы «Диктофон» называется ИКС. Три строчки припева выглядят так: Пойдем к моим друзьям в ТАКОЙ ИКС – Познакомлю со всеми тебя, банкой колы угощу Своих любимых героев третьих покажу Мы абсолютно уверены, что ТАКИЕ ИКСЫ сыграли важную роль в карьерах таких спортсменов, как Илья Осипов, Станислав Поторак или Данил Габов. Что мы загадали под ТАКИМИ ИКСАМИ, если оба слова начинаются на одну и ту же букву?</x:v>
      </x:c>
      <x:c r="F26" s="7" t="str">
        <x:v>Компьютерные клубы</x:v>
      </x:c>
      <x:c r="G26" s="7" t="str">
        <x:v>Название песни + киберспорт</x:v>
      </x:c>
      <x:c r="H26" s="7" t="str">
        <x:v>Музыка + киберспорт</x:v>
      </x:c>
      <x:c r="I26" s="7" t="str">
        <x:v>Песня «компьютерный клуб» → карьеры киберспортсменов</x:v>
      </x:c>
      <x:c r="J26" s="8" t="n">
        <x:v>6</x:v>
      </x:c>
      <x:c r="K26" s="8" t="str">
        <x:v>Высокая</x:v>
      </x:c>
      <x:c r="L26" s="37" t="n">
        <x:v>67</x:v>
      </x:c>
      <x:c r="M26" s="37" t="n">
        <x:v>74</x:v>
      </x:c>
      <x:c r="N26" s="7" t="str">
        <x:v>Симпл Квиз 2 №6.pptx</x:v>
      </x:c>
    </x:row>
    <x:row r="27">
      <x:c r="A27" s="8" t="n">
        <x:v>26</x:v>
      </x:c>
      <x:c r="B27" s="8" t="n">
        <x:v>5</x:v>
      </x:c>
      <x:c r="C27" s="8" t="str">
        <x:v>Музыкальный</x:v>
      </x:c>
      <x:c r="D27" s="8" t="n">
        <x:v>2</x:v>
      </x:c>
      <x:c r="E27" s="7" t="str">
        <x:v>У шведской группы Mando Diao есть песня, которая называется «Welcome home, ИКС». ИКС – легенда «Лос-Анджелес Кингс»: он аж дважды возвращался в эту команду. ИКС восемь раз вызывался на Матч всех звезд, имеет 24-й результат в истории НХЛ по количеству набранных очков. При этом единственное чемпионство канадец выиграл с «Детройт Ред Уингс». Назовите ИКСА двумя словами.</x:v>
      </x:c>
      <x:c r="F27" s="7" t="str">
        <x:v>Люк Робитайл</x:v>
      </x:c>
      <x:c r="G27" s="7" t="str">
        <x:v>Название песни + спортсмен</x:v>
      </x:c>
      <x:c r="H27" s="7" t="str">
        <x:v>Музыка + NHL</x:v>
      </x:c>
      <x:c r="I27" s="7" t="str">
        <x:v>Welcome Home, Luke → Люк Робитайл возвращался в Kings</x:v>
      </x:c>
      <x:c r="J27" s="8" t="n">
        <x:v>6</x:v>
      </x:c>
      <x:c r="K27" s="8" t="str">
        <x:v>Высокая</x:v>
      </x:c>
      <x:c r="L27" s="37" t="n">
        <x:v>68</x:v>
      </x:c>
      <x:c r="M27" s="37" t="n">
        <x:v>75</x:v>
      </x:c>
      <x:c r="N27" s="7" t="str">
        <x:v>Симпл Квиз 2 №6.pptx</x:v>
      </x:c>
    </x:row>
    <x:row r="28">
      <x:c r="A28" s="8" t="n">
        <x:v>27</x:v>
      </x:c>
      <x:c r="B28" s="8" t="n">
        <x:v>5</x:v>
      </x:c>
      <x:c r="C28" s="8" t="str">
        <x:v>Музыкальный</x:v>
      </x:c>
      <x:c r="D28" s="8" t="n">
        <x:v>3</x:v>
      </x:c>
      <x:c r="E28" s="7" t="str">
        <x:v>Одна из песен ВИА «Биртман» называется ИКС. Вот что говорил известный вам беллетрист, сыгравший главную роль в клипе ИКС: «Если вы вообще слушали текст песни, то ИКС – это не я, не мой персонаж. А пришел и исправил то, что натворил ИКС. И всем опять стало весело». При жизни многие давали беллетристу характеристику, синонимичную с ИКСОМ. ИКС состоит из двух существительных. Воспроизведите ИКС.</x:v>
      </x:c>
      <x:c r="F28" s="7" t="str">
        <x:v>Человек-говно</x:v>
      </x:c>
      <x:c r="G28" s="7" t="str">
        <x:v>Название песни + характеристика</x:v>
      </x:c>
      <x:c r="H28" s="7" t="str">
        <x:v>Музыка + литература</x:v>
      </x:c>
      <x:c r="I28" s="7" t="str">
        <x:v>Название песни → характеристика героя/писателя</x:v>
      </x:c>
      <x:c r="J28" s="8" t="n">
        <x:v>6</x:v>
      </x:c>
      <x:c r="K28" s="8" t="str">
        <x:v>Высокая</x:v>
      </x:c>
      <x:c r="L28" s="37" t="n">
        <x:v>69</x:v>
      </x:c>
      <x:c r="M28" s="37" t="n">
        <x:v>76</x:v>
      </x:c>
      <x:c r="N28" s="7" t="str">
        <x:v>Симпл Квиз 2 №6.pptx</x:v>
      </x:c>
    </x:row>
    <x:row r="29">
      <x:c r="A29" s="8" t="n">
        <x:v>28</x:v>
      </x:c>
      <x:c r="B29" s="8" t="n">
        <x:v>5</x:v>
      </x:c>
      <x:c r="C29" s="8" t="str">
        <x:v>Музыкальный</x:v>
      </x:c>
      <x:c r="D29" s="8" t="n">
        <x:v>4</x:v>
      </x:c>
      <x:c r="E29" s="7" t="str">
        <x:v>В треке «Priroda (Nature)» рэпер ROCKET сравнивает себя с ИКСОМ: «В игре как ИКС: я – великан». ИКСА действительно в какой-то степени можно назвать великаном: по некоторым данным, размер его ноги варьировался от 56,5 до 59-го, а точная длина стельки его обуви достигала 41 сантиметра. Назовите ИКС двумя словами, используя апостроф.</x:v>
      </x:c>
      <x:c r="F29" s="7" t="str">
        <x:v>Шакил О’Нил</x:v>
      </x:c>
      <x:c r="G29" s="7" t="str">
        <x:v>Строчка трека + физический факт</x:v>
      </x:c>
      <x:c r="H29" s="7" t="str">
        <x:v>Рэп + NBA</x:v>
      </x:c>
      <x:c r="I29" s="7" t="str">
        <x:v>ROCKET: «как Shaq» → гигантский размер ноги</x:v>
      </x:c>
      <x:c r="J29" s="8" t="n">
        <x:v>4</x:v>
      </x:c>
      <x:c r="K29" s="8" t="str">
        <x:v>Высокая</x:v>
      </x:c>
      <x:c r="L29" s="37" t="n">
        <x:v>70</x:v>
      </x:c>
      <x:c r="M29" s="37" t="n">
        <x:v>77</x:v>
      </x:c>
      <x:c r="N29" s="7" t="str">
        <x:v>Симпл Квиз 2 №6.pptx</x:v>
      </x:c>
    </x:row>
    <x:row r="30">
      <x:c r="A30" s="8" t="n">
        <x:v>29</x:v>
      </x:c>
      <x:c r="B30" s="8" t="n">
        <x:v>5</x:v>
      </x:c>
      <x:c r="C30" s="8" t="str">
        <x:v>Музыкальный</x:v>
      </x:c>
      <x:c r="D30" s="8" t="n">
        <x:v>5</x:v>
      </x:c>
      <x:c r="E30" s="7" t="str">
        <x:v>В единоборствах известен удушающий прием из захвата головы и руки, который часто доводят до конца через перекат и фиксацию, чтобы соперник не мог «развязать» ситуацию. Название приема очень созвучно с названием музыкальной группы из Астрахани, образованной в 2009 году. Назовите этот прием.</x:v>
      </x:c>
      <x:c r="F30" s="7" t="str">
        <x:v>Анаконда</x:v>
      </x:c>
      <x:c r="G30" s="7" t="str">
        <x:v>Созвучие термина и группы</x:v>
      </x:c>
      <x:c r="H30" s="7" t="str">
        <x:v>Музыка + единоборства</x:v>
      </x:c>
      <x:c r="I30" s="7" t="str">
        <x:v>Удушающий приём «анаконда» → группа «Анаконда»</x:v>
      </x:c>
      <x:c r="J30" s="8" t="n">
        <x:v>5</x:v>
      </x:c>
      <x:c r="K30" s="8" t="str">
        <x:v>Средняя</x:v>
      </x:c>
      <x:c r="L30" s="37" t="n">
        <x:v>71</x:v>
      </x:c>
      <x:c r="M30" s="37" t="n">
        <x:v>78</x:v>
      </x:c>
      <x:c r="N30" s="7" t="str">
        <x:v>Симпл Квиз 2 №6.pptx</x:v>
      </x:c>
    </x:row>
    <x:row r="31">
      <x:c r="A31" s="8" t="n">
        <x:v>30</x:v>
      </x:c>
      <x:c r="B31" s="8" t="n">
        <x:v>5</x:v>
      </x:c>
      <x:c r="C31" s="8" t="str">
        <x:v>Музыкальный</x:v>
      </x:c>
      <x:c r="D31" s="8" t="n">
        <x:v>6</x:v>
      </x:c>
      <x:c r="E31" s="7" t="str">
        <x:v>В 2005 году DJ Paul, один из исполнителей рэп-коллектива Three 6 Mafia, сфотографировался на обложку альбома Most Known Unknown в кепке с логотипом команды НБА. До 2001 года эта команда базировалась в Ванкувере, а затем релоцировалась в американский город, расположенный на берегу Миссисипи. Назовите команду, чей логотип изображен на обложке Three 6 Mafia.</x:v>
      </x:c>
      <x:c r="F31" s="7" t="str">
        <x:v>Мемфис Гриззлис</x:v>
      </x:c>
      <x:c r="G31" s="7" t="str">
        <x:v>Визуальный объект на обложке</x:v>
      </x:c>
      <x:c r="H31" s="7" t="str">
        <x:v>Музыка + NBA</x:v>
      </x:c>
      <x:c r="I31" s="7" t="str">
        <x:v>Кепка команды → переезд Ванкувер → Мемфис</x:v>
      </x:c>
      <x:c r="J31" s="8" t="n">
        <x:v>4</x:v>
      </x:c>
      <x:c r="K31" s="8" t="str">
        <x:v>Средняя</x:v>
      </x:c>
      <x:c r="L31" s="37" t="n">
        <x:v>72</x:v>
      </x:c>
      <x:c r="M31" s="37" t="n">
        <x:v>79</x:v>
      </x:c>
      <x:c r="N31" s="7" t="str">
        <x:v>Симпл Квиз 2 №6.pptx</x:v>
      </x:c>
    </x:row>
    <x:row r="32">
      <x:c r="A32" s="8" t="n">
        <x:v>31</x:v>
      </x:c>
      <x:c r="B32" s="8" t="n">
        <x:v>6</x:v>
      </x:c>
      <x:c r="C32" s="8" t="str">
        <x:v>25-й кадр</x:v>
      </x:c>
      <x:c r="D32" s="8" t="n">
        <x:v>1</x:v>
      </x:c>
      <x:c r="E32" s="7" t="str">
        <x:v>Несмотря на то, что ОН считается в том числе и актером, на самом деле его трудно описать одним этим словом, ведь он был и сценаристом, и режиссером, и продюсером, и даже основал джиткундо. Другая ОНА – экс-вторая ракетка мира, дважды побеждавшая в «турнирах Большого Шлема». А еще одна ОНА – человек, который точно не раз писал тексты про ЕЕ из предыдущего абзаца. Правильно написав ЕГО или ЕЕ фамилию, вы вряд ли потратите много места в бланке ответов.</x:v>
      </x:c>
      <x:c r="F32" s="7" t="str">
        <x:v>Ли</x:v>
      </x:c>
      <x:c r="G32" s="7" t="str">
        <x:v>Короткая общая фамилия</x:v>
      </x:c>
      <x:c r="H32" s="7" t="str">
        <x:v>Кино + теннис + журналистика</x:v>
      </x:c>
      <x:c r="I32" s="7" t="str">
        <x:v>Брюс Ли → Ли На → автор текстов с фамилией Ли</x:v>
      </x:c>
      <x:c r="J32" s="8" t="n">
        <x:v>5</x:v>
      </x:c>
      <x:c r="K32" s="8" t="str">
        <x:v>Высокая</x:v>
      </x:c>
      <x:c r="L32" s="37" t="n">
        <x:v>82</x:v>
      </x:c>
      <x:c r="M32" s="37" t="n">
        <x:v>89</x:v>
      </x:c>
      <x:c r="N32" s="7" t="str">
        <x:v>Симпл Квиз 2 №6.pptx</x:v>
      </x:c>
    </x:row>
    <x:row r="33">
      <x:c r="A33" s="8" t="n">
        <x:v>32</x:v>
      </x:c>
      <x:c r="B33" s="8" t="n">
        <x:v>6</x:v>
      </x:c>
      <x:c r="C33" s="8" t="str">
        <x:v>25-й кадр</x:v>
      </x:c>
      <x:c r="D33" s="8" t="n">
        <x:v>2</x:v>
      </x:c>
      <x:c r="E33" s="7" t="str">
        <x:v>Фильм 1999 года с Кевином Спейси в России известен под названием, которое меняет важный смысл оригинала: по-английски это название совпадает с названием конкретного сорта АЛЬФЫ, то есть буквально означает лишь один ее вид. Кроме того, слово АЛЬФА по-английски – фамилия одного из MVP НБА в 21 веке, который в 2024 году завершил карьеру. Назовите АЛЬФУ.</x:v>
      </x:c>
      <x:c r="F33" s="7" t="str">
        <x:v>Роза</x:v>
      </x:c>
      <x:c r="G33" s="7" t="str">
        <x:v>Оригинальное название фильма + фамилия</x:v>
      </x:c>
      <x:c r="H33" s="7" t="str">
        <x:v>Кино + NBA</x:v>
      </x:c>
      <x:c r="I33" s="7" t="str">
        <x:v>American Beauty = сорт розы → Derrick Rose</x:v>
      </x:c>
      <x:c r="J33" s="8" t="n">
        <x:v>5</x:v>
      </x:c>
      <x:c r="K33" s="8" t="str">
        <x:v>Высокая</x:v>
      </x:c>
      <x:c r="L33" s="37" t="n">
        <x:v>83</x:v>
      </x:c>
      <x:c r="M33" s="37" t="n">
        <x:v>90</x:v>
      </x:c>
      <x:c r="N33" s="7" t="str">
        <x:v>Симпл Квиз 2 №6.pptx</x:v>
      </x:c>
    </x:row>
    <x:row r="34">
      <x:c r="A34" s="8" t="n">
        <x:v>33</x:v>
      </x:c>
      <x:c r="B34" s="8" t="n">
        <x:v>6</x:v>
      </x:c>
      <x:c r="C34" s="8" t="str">
        <x:v>25-й кадр</x:v>
      </x:c>
      <x:c r="D34" s="8" t="n">
        <x:v>3</x:v>
      </x:c>
      <x:c r="E34" s="7" t="str">
        <x:v>Последние четыре года наши клубы все чаще сталкиваются с тем, что после согласования условий трансфер может «подвиснуть» на чисто техническом этапе: приходится менять детали, заново согласовывать формулировки и проходить дополнительные проверки у участников процесса. Эти проблемы можно охарактеризовать российским названием фильма из двух слов, вышедшего в 2003 году: его сняла София Коппола, а главную роль исполнил Билл Мюррей. Напишите название фильма.</x:v>
      </x:c>
      <x:c r="F34" s="7" t="str">
        <x:v>Трудности перевода</x:v>
      </x:c>
      <x:c r="G34" s="7" t="str">
        <x:v>Русское название фильма как метафора</x:v>
      </x:c>
      <x:c r="H34" s="7" t="str">
        <x:v>Кино + футбол</x:v>
      </x:c>
      <x:c r="I34" s="7" t="str">
        <x:v>Трансферные сложности → Lost in Translation → «Трудности перевода»</x:v>
      </x:c>
      <x:c r="J34" s="8" t="n">
        <x:v>4</x:v>
      </x:c>
      <x:c r="K34" s="8" t="str">
        <x:v>Высокая</x:v>
      </x:c>
      <x:c r="L34" s="37" t="n">
        <x:v>84</x:v>
      </x:c>
      <x:c r="M34" s="37" t="n">
        <x:v>91</x:v>
      </x:c>
      <x:c r="N34" s="7" t="str">
        <x:v>Симпл Квиз 2 №6.pptx</x:v>
      </x:c>
    </x:row>
    <x:row r="35">
      <x:c r="A35" s="8" t="n">
        <x:v>34</x:v>
      </x:c>
      <x:c r="B35" s="8" t="n">
        <x:v>6</x:v>
      </x:c>
      <x:c r="C35" s="8" t="str">
        <x:v>25-й кадр</x:v>
      </x:c>
      <x:c r="D35" s="8" t="n">
        <x:v>4</x:v>
      </x:c>
      <x:c r="E35" s="7" t="str">
        <x:v>На Олимпиаде 2006 года в Турине эта фигуристка стала серебряным призером в женском одиночном катании. Если в ее имя добавить слово французского происхождения, которое обычно связывают с монархическими традициями, то получится имя британского актера еврейского происхождения, известного сатирическими пародиями. Назовите его или ее.</x:v>
      </x:c>
      <x:c r="F35" s="7" t="str">
        <x:v>Саша Коэн</x:v>
      </x:c>
      <x:c r="G35" s="7" t="str">
        <x:v>Имя + титул = имя актёра</x:v>
      </x:c>
      <x:c r="H35" s="7" t="str">
        <x:v>Кино + фигурное катание</x:v>
      </x:c>
      <x:c r="I35" s="7" t="str">
        <x:v>Саша Коэн + baron → Sacha Baron Cohen</x:v>
      </x:c>
      <x:c r="J35" s="8" t="n">
        <x:v>5</x:v>
      </x:c>
      <x:c r="K35" s="8" t="str">
        <x:v>Высокая</x:v>
      </x:c>
      <x:c r="L35" s="37" t="n">
        <x:v>85</x:v>
      </x:c>
      <x:c r="M35" s="37" t="n">
        <x:v>92</x:v>
      </x:c>
      <x:c r="N35" s="7" t="str">
        <x:v>Симпл Квиз 2 №6.pptx</x:v>
      </x:c>
    </x:row>
    <x:row r="36">
      <x:c r="A36" s="8" t="n">
        <x:v>35</x:v>
      </x:c>
      <x:c r="B36" s="8" t="n">
        <x:v>6</x:v>
      </x:c>
      <x:c r="C36" s="8" t="str">
        <x:v>25-й кадр</x:v>
      </x:c>
      <x:c r="D36" s="8" t="n">
        <x:v>5</x:v>
      </x:c>
      <x:c r="E36" s="7" t="str">
        <x:v>Во время одного из соревнований в рамках All-Star Weekend НБА используется необычный снаряд. У этого снаряда составное название: первая часть подчеркивает ценность этого снаряда. В 2011 году вышел фильм, который в американском прокате называется так же, как и этот необычный снаряд. Напишите, как назвали фильм в российском кинопрокате.</x:v>
      </x:c>
      <x:c r="F36" s="7" t="str">
        <x:v>Человек, который изменил всё</x:v>
      </x:c>
      <x:c r="G36" s="7" t="str">
        <x:v>Оригинальное название фильма и снаряда</x:v>
      </x:c>
      <x:c r="H36" s="7" t="str">
        <x:v>Кино + NBA</x:v>
      </x:c>
      <x:c r="I36" s="7" t="str">
        <x:v>Moneyball как специальный мяч → российское название фильма</x:v>
      </x:c>
      <x:c r="J36" s="8" t="n">
        <x:v>7</x:v>
      </x:c>
      <x:c r="K36" s="8" t="str">
        <x:v>Средняя</x:v>
      </x:c>
      <x:c r="L36" s="37" t="n">
        <x:v>86</x:v>
      </x:c>
      <x:c r="M36" s="37" t="n">
        <x:v>93</x:v>
      </x:c>
      <x:c r="N36" s="7" t="str">
        <x:v>Симпл Квиз 2 №6.pptx</x:v>
      </x:c>
    </x:row>
    <x:row r="37">
      <x:c r="A37" s="8" t="n">
        <x:v>36</x:v>
      </x:c>
      <x:c r="B37" s="8" t="n">
        <x:v>6</x:v>
      </x:c>
      <x:c r="C37" s="8" t="str">
        <x:v>25-й кадр</x:v>
      </x:c>
      <x:c r="D37" s="8" t="n">
        <x:v>6</x:v>
      </x:c>
      <x:c r="E37" s="7" t="str">
        <x:v>ОН получил сразу два «Оскара» за фильм «Танцующий с волками» – за лучший фильм и лучшую режиссуру. ОНА – бронзовый призер Олимпиады-2014. Она завоевала награду в 27 лет, что удивительно для ее дисциплины. Назовите фамилию ЕГО и ЕЕ.</x:v>
      </x:c>
      <x:c r="F37" s="7" t="str">
        <x:v>Костнер</x:v>
      </x:c>
      <x:c r="G37" s="7" t="str">
        <x:v>Совпадение фамилии</x:v>
      </x:c>
      <x:c r="H37" s="7" t="str">
        <x:v>Кино + Олимпиада</x:v>
      </x:c>
      <x:c r="I37" s="7" t="str">
        <x:v>Кевин Костнер → Каролина Костнер</x:v>
      </x:c>
      <x:c r="J37" s="8" t="n">
        <x:v>5</x:v>
      </x:c>
      <x:c r="K37" s="8" t="str">
        <x:v>Высокая</x:v>
      </x:c>
      <x:c r="L37" s="37" t="n">
        <x:v>87</x:v>
      </x:c>
      <x:c r="M37" s="37" t="n">
        <x:v>94</x:v>
      </x:c>
      <x:c r="N37" s="7" t="str">
        <x:v>Симпл Квиз 2 №6.pptx</x:v>
      </x:c>
    </x:row>
    <x:row r="38">
      <x:c r="A38" s="8" t="n">
        <x:v>37</x:v>
      </x:c>
      <x:c r="B38" s="8" t="n">
        <x:v>7</x:v>
      </x:c>
      <x:c r="C38" s="8" t="str">
        <x:v>Маркетинг</x:v>
      </x:c>
      <x:c r="D38" s="8" t="n">
        <x:v>1</x:v>
      </x:c>
      <x:c r="E38" s="7" t="str">
        <x:v>Среди восьми самых высокооплачиваемых спортсменок 2025 года шестеро – Коко Гауфф, Арина Соболенко, Ига Свентек, Чжэн Циньвень, Мэдисон Киз и Наоми Осака – теннисистки. Еще одна спортсменка – Нелли Корда – занимается гольфом. И лишь одна спортсменка – представитель зимних видов спорта. Она заработала 23,1 млн долларов за 2025 год, но не благодаря призовым, а с помощью рекламных контрактов. Китаянка, которая родилась в Сан-Франциско, взяла два золота в Пекине, из Милана/Кортины увезла лишь два серебра. Назовите спорт, в котором она выступает.</x:v>
      </x:c>
      <x:c r="F38" s="7" t="str">
        <x:v>Фристайл</x:v>
      </x:c>
      <x:c r="G38" s="7" t="str">
        <x:v>Свежая экономика спорта</x:v>
      </x:c>
      <x:c r="H38" s="7" t="str">
        <x:v>Фристайл + бизнес</x:v>
      </x:c>
      <x:c r="I38" s="7" t="str">
        <x:v>Эйлин Гу → доходы от рекламы → фристайл</x:v>
      </x:c>
      <x:c r="J38" s="8" t="n">
        <x:v>4</x:v>
      </x:c>
      <x:c r="K38" s="8" t="str">
        <x:v>Средняя</x:v>
      </x:c>
      <x:c r="L38" s="37" t="n">
        <x:v>97</x:v>
      </x:c>
      <x:c r="M38" s="37" t="n">
        <x:v>104</x:v>
      </x:c>
      <x:c r="N38" s="7" t="str">
        <x:v>Симпл Квиз 2 №6.pptx</x:v>
      </x:c>
    </x:row>
    <x:row r="39">
      <x:c r="A39" s="8" t="n">
        <x:v>38</x:v>
      </x:c>
      <x:c r="B39" s="8" t="n">
        <x:v>7</x:v>
      </x:c>
      <x:c r="C39" s="8" t="str">
        <x:v>Маркетинг</x:v>
      </x:c>
      <x:c r="D39" s="8" t="n">
        <x:v>2</x:v>
      </x:c>
      <x:c r="E39" s="7" t="str">
        <x:v>В декабре 2022 года звезда лыжного двоеборья Гида Вествол Хансен нарисовала ЭТО в знак протеста. Ее возмутило, что в 2022 году лыжное двоеборье было единственной дисциплиной, где не были представлены женщины. Основной посыл ее перфоманса был в том, что если бы она была мужчиной, она могла бы квалифицироваться на Олимпиаду. Что нарисовала Хансен?</x:v>
      </x:c>
      <x:c r="F39" s="7" t="str">
        <x:v>Борода</x:v>
      </x:c>
      <x:c r="G39" s="7" t="str">
        <x:v>Протест-перформанс</x:v>
      </x:c>
      <x:c r="H39" s="7" t="str">
        <x:v>Лыжное двоеборье + протест</x:v>
      </x:c>
      <x:c r="I39" s="7" t="str">
        <x:v>Если бы была мужчиной → нарисовала бороду</x:v>
      </x:c>
      <x:c r="J39" s="8" t="n">
        <x:v>4</x:v>
      </x:c>
      <x:c r="K39" s="8" t="str">
        <x:v>Средняя</x:v>
      </x:c>
      <x:c r="L39" s="37" t="n">
        <x:v>98</x:v>
      </x:c>
      <x:c r="M39" s="37" t="n">
        <x:v>105</x:v>
      </x:c>
      <x:c r="N39" s="7" t="str">
        <x:v>Симпл Квиз 2 №6.pptx</x:v>
      </x:c>
    </x:row>
    <x:row r="40">
      <x:c r="A40" s="8" t="n">
        <x:v>39</x:v>
      </x:c>
      <x:c r="B40" s="8" t="n">
        <x:v>7</x:v>
      </x:c>
      <x:c r="C40" s="8" t="str">
        <x:v>Маркетинг</x:v>
      </x:c>
      <x:c r="D40" s="8" t="n">
        <x:v>3</x:v>
      </x:c>
      <x:c r="E40" s="7" t="str">
        <x:v>ИКС – заметный российский футболист: на его счету суммарно более 200 игр за московские клубы и 13 матчей за сборную России. В «Хачапури и вино» вы можете заказать алкогольный напиток на основе ИКСА, довольно популярный в этой сети ресторанов. Назовите ИКС.</x:v>
      </x:c>
      <x:c r="F40" s="7" t="str">
        <x:v>Гранат</x:v>
      </x:c>
      <x:c r="G40" s="7" t="str">
        <x:v>Фамилия = продукт</x:v>
      </x:c>
      <x:c r="H40" s="7" t="str">
        <x:v>Футбол + гастрономия</x:v>
      </x:c>
      <x:c r="I40" s="7" t="str">
        <x:v>Владимир Гранат → напиток на основе граната</x:v>
      </x:c>
      <x:c r="J40" s="8" t="n">
        <x:v>3</x:v>
      </x:c>
      <x:c r="K40" s="8" t="str">
        <x:v>Высокая</x:v>
      </x:c>
      <x:c r="L40" s="37" t="n">
        <x:v>99</x:v>
      </x:c>
      <x:c r="M40" s="37" t="n">
        <x:v>106</x:v>
      </x:c>
      <x:c r="N40" s="7" t="str">
        <x:v>Симпл Квиз 2 №6.pptx</x:v>
      </x:c>
    </x:row>
    <x:row r="41">
      <x:c r="A41" s="8" t="n">
        <x:v>40</x:v>
      </x:c>
      <x:c r="B41" s="8" t="n">
        <x:v>7</x:v>
      </x:c>
      <x:c r="C41" s="8" t="str">
        <x:v>Маркетинг</x:v>
      </x:c>
      <x:c r="D41" s="8" t="n">
        <x:v>4</x:v>
      </x:c>
      <x:c r="E41" s="7" t="str">
        <x:v>ИКС – бразильский боец UFC. Он пять раз получал награду «выступление вечера», а имя, под которым он известен в UFC, – собственно, ИКС – вовсе не бразильское. Вы наверняка больше слышали о другом ИКСЕ: известном шотландском бренде, на логотипе которого человек держится за головной убор. Назовите ИКС двумя словами.</x:v>
      </x:c>
      <x:c r="F41" s="7" t="str">
        <x:v>Джонни Уокер</x:v>
      </x:c>
      <x:c r="G41" s="7" t="str">
        <x:v>Спортсмен = бренд</x:v>
      </x:c>
      <x:c r="H41" s="7" t="str">
        <x:v>UFC + бренд</x:v>
      </x:c>
      <x:c r="I41" s="7" t="str">
        <x:v>Johnny Walker-боец → Johnnie Walker-бренд</x:v>
      </x:c>
      <x:c r="J41" s="8" t="n">
        <x:v>4</x:v>
      </x:c>
      <x:c r="K41" s="8" t="str">
        <x:v>Высокая</x:v>
      </x:c>
      <x:c r="L41" s="37" t="n">
        <x:v>100</x:v>
      </x:c>
      <x:c r="M41" s="37" t="n">
        <x:v>107</x:v>
      </x:c>
      <x:c r="N41" s="7" t="str">
        <x:v>Симпл Квиз 2 №6.pptx</x:v>
      </x:c>
    </x:row>
    <x:row r="42">
      <x:c r="A42" s="8" t="n">
        <x:v>41</x:v>
      </x:c>
      <x:c r="B42" s="8" t="n">
        <x:v>7</x:v>
      </x:c>
      <x:c r="C42" s="8" t="str">
        <x:v>Маркетинг</x:v>
      </x:c>
      <x:c r="D42" s="8" t="n">
        <x:v>5</x:v>
      </x:c>
      <x:c r="E42" s="7" t="str">
        <x:v>Одна пользователь соцсети X написала пост: «Ищу компаньона вместе ходить в зал. 4-5 раз в неделю. Я не дам пропускать тренировки. С меня компания, с тебя абонемент» Другой пользователь ответил ей: «Мы прошли игру с тарелочницами, теперь у нас ОНИ». То, что пользовательни добавил в неологизм, продается в «Спортмастере» и стоит от 299 до 20999 рублей. Каким неологизмом описал пользователь данную девушку?</x:v>
      </x:c>
      <x:c r="F42" s="7" t="str">
        <x:v>Гантеличница</x:v>
      </x:c>
      <x:c r="G42" s="7" t="str">
        <x:v>Интернет-неологизм</x:v>
      </x:c>
      <x:c r="H42" s="7" t="str">
        <x:v>Соцсети + фитнес</x:v>
      </x:c>
      <x:c r="I42" s="7" t="str">
        <x:v>Тарелочница → гантель + суффикс → гантеличница</x:v>
      </x:c>
      <x:c r="J42" s="8" t="n">
        <x:v>4</x:v>
      </x:c>
      <x:c r="K42" s="8" t="str">
        <x:v>Средняя</x:v>
      </x:c>
      <x:c r="L42" s="37" t="n">
        <x:v>101</x:v>
      </x:c>
      <x:c r="M42" s="37" t="n">
        <x:v>108</x:v>
      </x:c>
      <x:c r="N42" s="7" t="str">
        <x:v>Симпл Квиз 2 №6.pptx</x:v>
      </x:c>
    </x:row>
    <x:row r="43">
      <x:c r="A43" s="8" t="n">
        <x:v>42</x:v>
      </x:c>
      <x:c r="B43" s="8" t="n">
        <x:v>7</x:v>
      </x:c>
      <x:c r="C43" s="8" t="str">
        <x:v>Маркетинг</x:v>
      </x:c>
      <x:c r="D43" s="8" t="n">
        <x:v>6</x:v>
      </x:c>
      <x:c r="E43" s="7" t="str">
        <x:v>У одной национальной сборной на игровой форме есть эмблема, где повторяется один и тот же геральдический символ. Эта сборная 11 раз выигрывала чемпионат мира и дважды брала олимпийское золото. Футбольная сборная той же страны завоевала последние медали в конце 20-го века; в 21-м веке ни на чемпионатах мира, ни на чемпионатах Европы в тройку призёров она не попадала, а на ее форме этот повторяющийся символ не увидеть. Назовите этот символ.</x:v>
      </x:c>
      <x:c r="F43" s="7" t="str">
        <x:v>Три короны</x:v>
      </x:c>
      <x:c r="G43" s="7" t="str">
        <x:v>Геральдический символ</x:v>
      </x:c>
      <x:c r="H43" s="7" t="str">
        <x:v>Хоккей + геральдика</x:v>
      </x:c>
      <x:c r="I43" s="7" t="str">
        <x:v>Сборная Швеции по хоккею → эмблема «Три короны»</x:v>
      </x:c>
      <x:c r="J43" s="8" t="n">
        <x:v>6</x:v>
      </x:c>
      <x:c r="K43" s="8" t="str">
        <x:v>Средняя</x:v>
      </x:c>
      <x:c r="L43" s="37" t="n">
        <x:v>102</x:v>
      </x:c>
      <x:c r="M43" s="37" t="n">
        <x:v>109</x:v>
      </x:c>
      <x:c r="N43" s="7" t="str">
        <x:v>Симпл Квиз 2 №6.pptx</x:v>
      </x:c>
    </x:row>
    <x:row r="44">
      <x:c r="A44" s="8" t="n">
        <x:v>43</x:v>
      </x:c>
      <x:c r="B44" s="8" t="n">
        <x:v>8</x:v>
      </x:c>
      <x:c r="C44" s="8" t="str">
        <x:v>С Богом</x:v>
      </x:c>
      <x:c r="D44" s="8" t="n">
        <x:v>1</x:v>
      </x:c>
      <x:c r="E44" s="7" t="str">
        <x:v>Зачастую ИХ ставят на финише в марафонах, велогонках и прочих типах соревнований на время или на пройденную дистанцию. ОНА – дочь Электры и сестра гарпий, которая помогала титанам в борьбе против богов и Зевса. Назовите ЕЕ.</x:v>
      </x:c>
      <x:c r="F44" s="7" t="str">
        <x:v>Арка</x:v>
      </x:c>
      <x:c r="G44" s="7" t="str">
        <x:v>Спортивный объект = мифологическое имя</x:v>
      </x:c>
      <x:c r="H44" s="7" t="str">
        <x:v>Мифология + спорт</x:v>
      </x:c>
      <x:c r="I44" s="7" t="str">
        <x:v>Финишная арка → мифологическая Арка</x:v>
      </x:c>
      <x:c r="J44" s="8" t="n">
        <x:v>5</x:v>
      </x:c>
      <x:c r="K44" s="8" t="str">
        <x:v>Высокая</x:v>
      </x:c>
      <x:c r="L44" s="37" t="n">
        <x:v>112</x:v>
      </x:c>
      <x:c r="M44" s="37" t="n">
        <x:v>119</x:v>
      </x:c>
      <x:c r="N44" s="7" t="str">
        <x:v>Симпл Квиз 2 №6.pptx</x:v>
      </x:c>
    </x:row>
    <x:row r="45">
      <x:c r="A45" s="8" t="n">
        <x:v>44</x:v>
      </x:c>
      <x:c r="B45" s="8" t="n">
        <x:v>8</x:v>
      </x:c>
      <x:c r="C45" s="8" t="str">
        <x:v>С Богом</x:v>
      </x:c>
      <x:c r="D45" s="8" t="n">
        <x:v>2</x:v>
      </x:c>
      <x:c r="E45" s="7" t="str">
        <x:v>В мифологии народа, чья столица стояла на островах солоноватого озера Тескоко, важными фигурами были «Пернатый змей» Кетцалькоатль и бог дождя Тлалок, а культ войны связывали с солнечным покровителем. Футбольная сборная страны, где существовал тот город, в XXI веке брала золото (2012) и бронзу (2020) на олимпийском турнире. Кроме того, будучи приглашенной командой, она дважды брала медали на главном турнире сборных под эгидой КОНМЕБОЛ: в 2001 дошла до финала, а в 2007 стала третьей. Назовите эту страну.</x:v>
      </x:c>
      <x:c r="F45" s="7" t="str">
        <x:v>Мексика</x:v>
      </x:c>
      <x:c r="G45" s="7" t="str">
        <x:v>История цивилизации + спорт</x:v>
      </x:c>
      <x:c r="H45" s="7" t="str">
        <x:v>История + футбол</x:v>
      </x:c>
      <x:c r="I45" s="7" t="str">
        <x:v>Теночтитлан → ацтеки → Мексика + олимпийский футбол</x:v>
      </x:c>
      <x:c r="J45" s="8" t="n">
        <x:v>5</x:v>
      </x:c>
      <x:c r="K45" s="8" t="str">
        <x:v>Средняя</x:v>
      </x:c>
      <x:c r="L45" s="37" t="n">
        <x:v>113</x:v>
      </x:c>
      <x:c r="M45" s="37" t="n">
        <x:v>120</x:v>
      </x:c>
      <x:c r="N45" s="7" t="str">
        <x:v>Симпл Квиз 2 №6.pptx</x:v>
      </x:c>
    </x:row>
    <x:row r="46">
      <x:c r="A46" s="8" t="n">
        <x:v>45</x:v>
      </x:c>
      <x:c r="B46" s="8" t="n">
        <x:v>8</x:v>
      </x:c>
      <x:c r="C46" s="8" t="str">
        <x:v>С Богом</x:v>
      </x:c>
      <x:c r="D46" s="8" t="n">
        <x:v>3</x:v>
      </x:c>
      <x:c r="E46" s="7" t="str">
        <x:v>В 1439 году Митрополит Киевский и всея Руси был возведен в сан кардинала Римской Церкви за заслуги в объединении православия и католицизма. Вскоре митрополиту пришлось покинуть Русь и отправиться в Рим – князь Василий II Темный был против унии. Имя митрополита вам хорошо известно, так как совпадает с фамилией французско-гаитянского футболиста, который проделал путь из Петербурга и в лоно англиканской церкви в 2024 году. Напишите это имя.</x:v>
      </x:c>
      <x:c r="F46" s="7" t="str">
        <x:v>Изидор / Исидор</x:v>
      </x:c>
      <x:c r="G46" s="7" t="str">
        <x:v>Имя церковного деятеля = фамилия игрока</x:v>
      </x:c>
      <x:c r="H46" s="7" t="str">
        <x:v>Религия + футбол</x:v>
      </x:c>
      <x:c r="I46" s="7" t="str">
        <x:v>Митрополит Исидор → Вильсон Изидор</x:v>
      </x:c>
      <x:c r="J46" s="8" t="n">
        <x:v>6</x:v>
      </x:c>
      <x:c r="K46" s="8" t="str">
        <x:v>Высокая</x:v>
      </x:c>
      <x:c r="L46" s="37" t="n">
        <x:v>114</x:v>
      </x:c>
      <x:c r="M46" s="37" t="n">
        <x:v>121</x:v>
      </x:c>
      <x:c r="N46" s="7" t="str">
        <x:v>Симпл Квиз 2 №6.pptx</x:v>
      </x:c>
    </x:row>
    <x:row r="47">
      <x:c r="A47" s="8" t="n">
        <x:v>46</x:v>
      </x:c>
      <x:c r="B47" s="8" t="n">
        <x:v>8</x:v>
      </x:c>
      <x:c r="C47" s="8" t="str">
        <x:v>С Богом</x:v>
      </x:c>
      <x:c r="D47" s="8" t="n">
        <x:v>4</x:v>
      </x:c>
      <x:c r="E47" s="7" t="str">
        <x:v>В одном из интервью Иэн Райт вспомнил, что Денниса Бергкампа на тренировках «Арсенала» после первых матчей называли ИМ. Это слово, которое содержит в себе фамилию очень известного футболиста, означает в авраамических религиях посланника бога. Как называли Бергкампа игроки «Арсенала»?</x:v>
      </x:c>
      <x:c r="F47" s="7" t="str">
        <x:v>Мессия</x:v>
      </x:c>
      <x:c r="G47" s="7" t="str">
        <x:v>Слово содержит фамилию</x:v>
      </x:c>
      <x:c r="H47" s="7" t="str">
        <x:v>Религия + футбол</x:v>
      </x:c>
      <x:c r="I47" s="7" t="str">
        <x:v>Посланник Бога = мессия → внутри Messi</x:v>
      </x:c>
      <x:c r="J47" s="8" t="n">
        <x:v>4</x:v>
      </x:c>
      <x:c r="K47" s="8" t="str">
        <x:v>Высокая</x:v>
      </x:c>
      <x:c r="L47" s="37" t="n">
        <x:v>115</x:v>
      </x:c>
      <x:c r="M47" s="37" t="n">
        <x:v>122</x:v>
      </x:c>
      <x:c r="N47" s="7" t="str">
        <x:v>Симпл Квиз 2 №6.pptx</x:v>
      </x:c>
    </x:row>
    <x:row r="48">
      <x:c r="A48" s="8" t="n">
        <x:v>47</x:v>
      </x:c>
      <x:c r="B48" s="8" t="n">
        <x:v>8</x:v>
      </x:c>
      <x:c r="C48" s="8" t="str">
        <x:v>С Богом</x:v>
      </x:c>
      <x:c r="D48" s="8" t="n">
        <x:v>5</x:v>
      </x:c>
      <x:c r="E48" s="7" t="str">
        <x:v>Он провел четыре Олимпиады и стал рекордсменом мужской сборной США по суммарным очкам на Играх, который впоследствии побил Кевин Дюрант. В иврите корень его имени обычно объясняют как «виноградник», «сад» или «плодородная местность», а в католической традиции оно имеет глубокий религиозный оттенок. Назовите этого баскетболиста.</x:v>
      </x:c>
      <x:c r="F48" s="7" t="str">
        <x:v>Кармело Энтони</x:v>
      </x:c>
      <x:c r="G48" s="7" t="str">
        <x:v>Этимология имени</x:v>
      </x:c>
      <x:c r="H48" s="7" t="str">
        <x:v>Религия + NBA</x:v>
      </x:c>
      <x:c r="I48" s="7" t="str">
        <x:v>Кармело → религиозная традиция Кармеля → Кармело Энтони</x:v>
      </x:c>
      <x:c r="J48" s="8" t="n">
        <x:v>5</x:v>
      </x:c>
      <x:c r="K48" s="8" t="str">
        <x:v>Высокая</x:v>
      </x:c>
      <x:c r="L48" s="37" t="n">
        <x:v>116</x:v>
      </x:c>
      <x:c r="M48" s="37" t="n">
        <x:v>123</x:v>
      </x:c>
      <x:c r="N48" s="7" t="str">
        <x:v>Симпл Квиз 2 №6.pptx</x:v>
      </x:c>
    </x:row>
    <x:row r="49">
      <x:c r="A49" s="8" t="n">
        <x:v>48</x:v>
      </x:c>
      <x:c r="B49" s="8" t="n">
        <x:v>8</x:v>
      </x:c>
      <x:c r="C49" s="8" t="str">
        <x:v>С Богом</x:v>
      </x:c>
      <x:c r="D49" s="8" t="n">
        <x:v>6</x:v>
      </x:c>
      <x:c r="E49" s="7" t="str">
        <x:v>В 17-м веке у духовного сословия в России не было фамилий. Тогда в семинариях начали давать детям фамилии с географическими привязками, причем не только к российским регионам, но и отдаленным странам. С 2016 по 2019 год в «Томи» играл футболист с фамилией, образованной от названия страны в Западной Африке. Назовите эту фамилию.</x:v>
      </x:c>
      <x:c r="F49" s="7" t="str">
        <x:v>Гвинейский</x:v>
      </x:c>
      <x:c r="G49" s="7" t="str">
        <x:v>Фамилия от географического названия</x:v>
      </x:c>
      <x:c r="H49" s="7" t="str">
        <x:v>История фамилий + футбол</x:v>
      </x:c>
      <x:c r="I49" s="7" t="str">
        <x:v>Семинарские фамилии от стран → Гвинея → Гвинейский</x:v>
      </x:c>
      <x:c r="J49" s="8" t="n">
        <x:v>6</x:v>
      </x:c>
      <x:c r="K49" s="8" t="str">
        <x:v>Высокая</x:v>
      </x:c>
      <x:c r="L49" s="37" t="n">
        <x:v>117</x:v>
      </x:c>
      <x:c r="M49" s="37" t="n">
        <x:v>124</x:v>
      </x:c>
      <x:c r="N49" s="7" t="str">
        <x:v>Симпл Квиз 2 №6.pptx</x:v>
      </x:c>
    </x:row>
    <x:row r="50">
      <x:c r="A50" s="6" t="n">
        <x:v>49</x:v>
      </x:c>
      <x:c r="B50" s="6" t="str">
        <x:v>TG</x:v>
      </x:c>
      <x:c r="C50" s="6" t="str">
        <x:v>Telegram-архив</x:v>
      </x:c>
      <x:c r="D50" s="6" t="n">
        <x:v>1</x:v>
      </x:c>
      <x:c r="E50" s="7" t="str">
        <x:v>Этот сезон НХЛ - уникальный: домашний матч «Каролины» против «Тампа-Бэй» перенесли из-за НЕГО, а матч «Лос-Анджелеса» против «Калгари» перенесли из-за НИХ. Как иронично. Назовите ЕГО и ИХ.</x:v>
      </x:c>
      <x:c r="F50" s="7" t="str">
        <x:v>Ураган и пожары</x:v>
      </x:c>
      <x:c r="G50" s="7" t="str">
        <x:v>Не размечено</x:v>
      </x:c>
      <x:c r="H50" s="7" t="str">
        <x:v>Спорт / смешанное</x:v>
      </x:c>
      <x:c r="I50" s="7" t="str">
        <x:v>Ответ подтверждён реакцией канала: https://t.me/simple_quiz/6?comment=6</x:v>
      </x:c>
      <x:c r="J50" s="6"/>
      <x:c r="K50" s="6" t="str">
        <x:v>Не оценена</x:v>
      </x:c>
      <x:c r="L50" s="7" t="str">
        <x:v>telegram_archive/media/post_0006_photo_01.jpg</x:v>
      </x:c>
      <x:c r="M50" s="7"/>
      <x:c r="N50" s="7" t="str">
        <x:v>https://t.me/simple_quiz/6</x:v>
      </x:c>
    </x:row>
    <x:row r="51">
      <x:c r="A51" s="6" t="n">
        <x:v>50</x:v>
      </x:c>
      <x:c r="B51" s="6" t="str">
        <x:v>TG</x:v>
      </x:c>
      <x:c r="C51" s="6" t="str">
        <x:v>Telegram-архив</x:v>
      </x:c>
      <x:c r="D51" s="6" t="n">
        <x:v>2</x:v>
      </x:c>
      <x:c r="E51" s="7" t="str">
        <x:v>Если ты любитель спорта, то в Америке тебе не удастся сходить на рэп, поп или фолк, зато можно сходить на рок, на ИКС и на ИГРЕК. Назовите ИКС и ИГРЕК. о</x:v>
      </x:c>
      <x:c r="F51" s="7" t="str">
        <x:v>«Юта Джаз» и «Сент-Луис Блюз»</x:v>
      </x:c>
      <x:c r="G51" s="7" t="str">
        <x:v>Не размечено</x:v>
      </x:c>
      <x:c r="H51" s="7" t="str">
        <x:v>Спорт / смешанное</x:v>
      </x:c>
      <x:c r="I51" s="7" t="str">
        <x:v>Ответ подтверждён реакцией канала: https://t.me/simple_quiz/7?comment=10</x:v>
      </x:c>
      <x:c r="J51" s="6"/>
      <x:c r="K51" s="6" t="str">
        <x:v>Не оценена</x:v>
      </x:c>
      <x:c r="L51" s="7" t="str">
        <x:v>telegram_archive/media/post_0007_photo_01.jpg</x:v>
      </x:c>
      <x:c r="M51" s="7"/>
      <x:c r="N51" s="7" t="str">
        <x:v>https://t.me/simple_quiz/7</x:v>
      </x:c>
    </x:row>
    <x:row r="52">
      <x:c r="A52" s="6" t="n">
        <x:v>51</x:v>
      </x:c>
      <x:c r="B52" s="6" t="str">
        <x:v>TG</x:v>
      </x:c>
      <x:c r="C52" s="6" t="str">
        <x:v>Telegram-архив</x:v>
      </x:c>
      <x:c r="D52" s="6" t="n">
        <x:v>3</x:v>
      </x:c>
      <x:c r="E52" s="7" t="str">
        <x:v>Рядом с ЭТИМ на футбольных матчах с 2020 года красуется цифра 5, с 2013 года - 4, с 2006 года - 3, с 2000 года - 2. А вообще ЭТО фигурирует в трансляциях некоторых футбольных матчей с 1995 года. О чем речь?</x:v>
      </x:c>
      <x:c r="F52" s="7" t="str">
        <x:v>PS (PlayStation)</x:v>
      </x:c>
      <x:c r="G52" s="7" t="str">
        <x:v>Не размечено</x:v>
      </x:c>
      <x:c r="H52" s="7" t="str">
        <x:v>Спорт / смешанное</x:v>
      </x:c>
      <x:c r="I52" s="7" t="str">
        <x:v>Ответ подтверждён реакцией канала: https://t.me/simple_quiz/17?comment=27</x:v>
      </x:c>
      <x:c r="J52" s="6"/>
      <x:c r="K52" s="6" t="str">
        <x:v>Не оценена</x:v>
      </x:c>
      <x:c r="L52" s="7" t="str">
        <x:v>telegram_archive/media/post_0017_photo_01.jpg</x:v>
      </x:c>
      <x:c r="M52" s="7"/>
      <x:c r="N52" s="7" t="str">
        <x:v>https://t.me/simple_quiz/17</x:v>
      </x:c>
    </x:row>
    <x:row r="53">
      <x:c r="A53" s="6" t="n">
        <x:v>52</x:v>
      </x:c>
      <x:c r="B53" s="6" t="str">
        <x:v>TG</x:v>
      </x:c>
      <x:c r="C53" s="6" t="str">
        <x:v>Telegram-архив</x:v>
      </x:c>
      <x:c r="D53" s="6" t="n">
        <x:v>4</x:v>
      </x:c>
      <x:c r="E53" s="7" t="str">
        <x:v>Первая ОНА появились в России в 2001 году. Сейчас ИХ более 40 в Москве и Московской области. Ав 2018 году благодаря паре русских футболистов одна из НИХ на протяжении нескольких месяцев регулярно появлялась в новостных каналах и пабликах. Назовите EE.</x:v>
      </x:c>
      <x:c r="F53" s="7" t="str">
        <x:v>Кофемания</x:v>
      </x:c>
      <x:c r="G53" s="7" t="str">
        <x:v>Не размечено</x:v>
      </x:c>
      <x:c r="H53" s="7" t="str">
        <x:v>Спорт / смешанное</x:v>
      </x:c>
      <x:c r="I53" s="7" t="str">
        <x:v>Ответ подтверждён реакцией канала: https://t.me/simple_quiz/19?comment=30</x:v>
      </x:c>
      <x:c r="J53" s="6"/>
      <x:c r="K53" s="6" t="str">
        <x:v>Не оценена</x:v>
      </x:c>
      <x:c r="L53" s="7" t="str">
        <x:v>telegram_archive/media/post_0019_photo_01.jpg</x:v>
      </x:c>
      <x:c r="M53" s="7"/>
      <x:c r="N53" s="7" t="str">
        <x:v>https://t.me/simple_quiz/19</x:v>
      </x:c>
    </x:row>
    <x:row r="54">
      <x:c r="A54" s="6" t="n">
        <x:v>53</x:v>
      </x:c>
      <x:c r="B54" s="6" t="str">
        <x:v>TG</x:v>
      </x:c>
      <x:c r="C54" s="6" t="str">
        <x:v>Telegram-архив</x:v>
      </x:c>
      <x:c r="D54" s="6" t="n">
        <x:v>5</x:v>
      </x:c>
      <x:c r="E54" s="7" t="str">
        <x:v>В одной легендарной московской команде середины 2000-х было два русских спортсмена с редко встречающимися фамилиями. Одна из них дословно означает пузо или желудок. Другая - верхние листы кочана капусты. Впоследствии оба поиграли на другом материке, но доигрывали последние годы карьеры в российских клубах. Назовите фамилии этих спортсменов.</x:v>
      </x:c>
      <x:c r="F54" s="7" t="str">
        <x:v>Моня и Хряпа</x:v>
      </x:c>
      <x:c r="G54" s="7" t="str">
        <x:v>Не размечено</x:v>
      </x:c>
      <x:c r="H54" s="7" t="str">
        <x:v>Спорт / смешанное</x:v>
      </x:c>
      <x:c r="I54" s="7" t="str">
        <x:v>Ответ уточнён пользователем: Уточнение пользователя</x:v>
      </x:c>
      <x:c r="J54" s="6"/>
      <x:c r="K54" s="6" t="str">
        <x:v>Не оценена</x:v>
      </x:c>
      <x:c r="L54" s="7" t="str">
        <x:v>telegram_archive/media/post_0035_photo_01.jpg</x:v>
      </x:c>
      <x:c r="M54" s="7"/>
      <x:c r="N54" s="7" t="str">
        <x:v>https://t.me/simple_quiz/35</x:v>
      </x:c>
    </x:row>
    <x:row r="55">
      <x:c r="A55" s="6" t="n">
        <x:v>54</x:v>
      </x:c>
      <x:c r="B55" s="6" t="str">
        <x:v>TG</x:v>
      </x:c>
      <x:c r="C55" s="6" t="str">
        <x:v>Telegram-архив</x:v>
      </x:c>
      <x:c r="D55" s="6" t="n">
        <x:v>6</x:v>
      </x:c>
      <x:c r="E55" s="7" t="str">
        <x:v>В треке AJ Tracey 2017 года под названием You Don’t Know Ме упоминается экс-игрок нескольких клубов АПЛ Виктор Ваньяма. Главной звездой баскетбольного «Сан-Антонио» является Виктор Вембаньяма. Помимо схожести имен и фамилий в биографиях этих спортсменов есть еще одно слово, которое их объединяет. Предмет, который обозначает это слово, изобрели еще до нашей эры. В основе этого приспособления - колесико, которое может быть покрыто зубчиками. Назовите это слово.</x:v>
      </x:c>
      <x:c r="F55" s="7" t="str">
        <x:v>Не опубликован в посте</x:v>
      </x:c>
      <x:c r="G55" s="7" t="str">
        <x:v>Не размечено</x:v>
      </x:c>
      <x:c r="H55" s="7" t="str">
        <x:v>Спорт / смешанное</x:v>
      </x:c>
      <x:c r="I55" s="7" t="str">
        <x:v>OCR из карточки; требуется редакторская проверка</x:v>
      </x:c>
      <x:c r="J55" s="6"/>
      <x:c r="K55" s="6" t="str">
        <x:v>Не оценена</x:v>
      </x:c>
      <x:c r="L55" s="7" t="str">
        <x:v>telegram_archive/media/post_0050_photo_01.jpg</x:v>
      </x:c>
      <x:c r="M55" s="7"/>
      <x:c r="N55" s="7" t="str">
        <x:v>https://t.me/simple_quiz/50</x:v>
      </x:c>
    </x:row>
    <x:row r="56">
      <x:c r="A56" s="6" t="n">
        <x:v>55</x:v>
      </x:c>
      <x:c r="B56" s="6" t="str">
        <x:v>TG</x:v>
      </x:c>
      <x:c r="C56" s="6" t="str">
        <x:v>Telegram-архив</x:v>
      </x:c>
      <x:c r="D56" s="6" t="n">
        <x:v>7</x:v>
      </x:c>
      <x:c r="E56" s="7" t="str">
        <x:v>В 2014 году 21-летняя испанка Гарбинье Мугуруса сенсационно выбила из сетки «Ролан Гаррос» Серену Уильямс и добралась до до четвертьфинала турнира «Большого шлема». На сайте Eurosport.ru вышел пост с фактами про Гарбинье. Назывался он так: «Мугуруса, ПРОПУСК». Заголовок - аллюзия на популярную в середине 20 века фразу: она не раз звучала в самом известном фильме про пионеров. Какие два слова мы пропустили в заголовке текста на Eurosport.ru?</x:v>
      </x:c>
      <x:c r="F56" s="7" t="str">
        <x:v>А что вы тут делаете, а?</x:v>
      </x:c>
      <x:c r="G56" s="7" t="str">
        <x:v>Не размечено</x:v>
      </x:c>
      <x:c r="H56" s="7" t="str">
        <x:v>Спорт / смешанное</x:v>
      </x:c>
      <x:c r="I56" s="7" t="str">
        <x:v>Ответ подтверждён реакцией канала: https://t.me/simple_quiz/127?comment=223</x:v>
      </x:c>
      <x:c r="J56" s="6"/>
      <x:c r="K56" s="6" t="str">
        <x:v>Не оценена</x:v>
      </x:c>
      <x:c r="L56" s="7" t="str">
        <x:v>telegram_archive/media/post_0127_photo_01.jpg</x:v>
      </x:c>
      <x:c r="M56" s="7"/>
      <x:c r="N56" s="7" t="str">
        <x:v>https://t.me/simple_quiz/127</x:v>
      </x:c>
    </x:row>
    <x:row r="57">
      <x:c r="A57" s="6" t="n">
        <x:v>56</x:v>
      </x:c>
      <x:c r="B57" s="6" t="str">
        <x:v>TG</x:v>
      </x:c>
      <x:c r="C57" s="6" t="str">
        <x:v>Telegram-архив</x:v>
      </x:c>
      <x:c r="D57" s="6" t="n">
        <x:v>8</x:v>
      </x:c>
      <x:c r="E57" s="7" t="str">
        <x:v>Было бы символично, если бы ИКС ИГРЕК играл за ЗЕТ ИКС, но нет: в США он выступал лишь за одну команду. Назовите ИКС. Если вы знаете, что за песня Queen играла в рекламе Coca-Cola, вам, скорее всего, будет проще справиться с этим вопросом.</x:v>
      </x:c>
      <x:c r="F57" s="7" t="str">
        <x:v>Мэджик</x:v>
      </x:c>
      <x:c r="G57" s="7" t="str">
        <x:v>Не размечено</x:v>
      </x:c>
      <x:c r="H57" s="7" t="str">
        <x:v>Спорт / смешанное</x:v>
      </x:c>
      <x:c r="I57" s="7" t="str">
        <x:v>Ответ подтверждён реакцией канала: https://t.me/simple_quiz/130?comment=239</x:v>
      </x:c>
      <x:c r="J57" s="6"/>
      <x:c r="K57" s="6" t="str">
        <x:v>Не оценена</x:v>
      </x:c>
      <x:c r="L57" s="7" t="str">
        <x:v>telegram_archive/media/post_0130_photo_01.jpg</x:v>
      </x:c>
      <x:c r="M57" s="7"/>
      <x:c r="N57" s="7" t="str">
        <x:v>https://t.me/simple_quiz/130</x:v>
      </x:c>
    </x:row>
    <x:row r="58">
      <x:c r="A58" s="6" t="n">
        <x:v>57</x:v>
      </x:c>
      <x:c r="B58" s="6" t="str">
        <x:v>TG</x:v>
      </x:c>
      <x:c r="C58" s="6" t="str">
        <x:v>Telegram-архив</x:v>
      </x:c>
      <x:c r="D58" s="6" t="n">
        <x:v>9</x:v>
      </x:c>
      <x:c r="E58" s="7" t="str">
        <x:v>ЭТО есть как минимум в двух экземплярах у каждого профессионального клуба. ЭТО было и в названии одного из клубов НБА, нос 2012 года не фигурирует в нем. О чем речь?</x:v>
      </x:c>
      <x:c r="F58" s="7" t="str">
        <x:v>Джерси</x:v>
      </x:c>
      <x:c r="G58" s="7" t="str">
        <x:v>Не размечено</x:v>
      </x:c>
      <x:c r="H58" s="7" t="str">
        <x:v>Спорт / смешанное</x:v>
      </x:c>
      <x:c r="I58" s="7" t="str">
        <x:v>Ответ подтверждён реакцией канала: https://t.me/simple_quiz/141?comment=252</x:v>
      </x:c>
      <x:c r="J58" s="6"/>
      <x:c r="K58" s="6" t="str">
        <x:v>Не оценена</x:v>
      </x:c>
      <x:c r="L58" s="7" t="str">
        <x:v>telegram_archive/media/post_0141_photo_01.jpg</x:v>
      </x:c>
      <x:c r="M58" s="7"/>
      <x:c r="N58" s="7" t="str">
        <x:v>https://t.me/simple_quiz/141</x:v>
      </x:c>
    </x:row>
    <x:row r="59">
      <x:c r="A59" s="6" t="n">
        <x:v>58</x:v>
      </x:c>
      <x:c r="B59" s="6" t="str">
        <x:v>TG</x:v>
      </x:c>
      <x:c r="C59" s="6" t="str">
        <x:v>Telegram-архив</x:v>
      </x:c>
      <x:c r="D59" s="6" t="n">
        <x:v>10</x:v>
      </x:c>
      <x:c r="E59" s="7" t="str">
        <x:v>Назовите команду МФЛ, которая всегда располагается в таблице на 22-м месте.</x:v>
      </x:c>
      <x:c r="F59" s="7" t="str">
        <x:v>Титан</x:v>
      </x:c>
      <x:c r="G59" s="7" t="str">
        <x:v>Не размечено</x:v>
      </x:c>
      <x:c r="H59" s="7" t="str">
        <x:v>Спорт / смешанное</x:v>
      </x:c>
      <x:c r="I59" s="7" t="str">
        <x:v>Ответ подтверждён реакцией канала: https://t.me/simple_quiz/142?comment=255</x:v>
      </x:c>
      <x:c r="J59" s="6"/>
      <x:c r="K59" s="6" t="str">
        <x:v>Не оценена</x:v>
      </x:c>
      <x:c r="L59" s="7" t="str">
        <x:v>telegram_archive/media/post_0142_photo_01.jpg</x:v>
      </x:c>
      <x:c r="M59" s="7"/>
      <x:c r="N59" s="7" t="str">
        <x:v>https://t.me/simple_quiz/142</x:v>
      </x:c>
    </x:row>
    <x:row r="60">
      <x:c r="A60" s="6" t="n">
        <x:v>59</x:v>
      </x:c>
      <x:c r="B60" s="6" t="str">
        <x:v>TG</x:v>
      </x:c>
      <x:c r="C60" s="6" t="str">
        <x:v>Telegram-архив</x:v>
      </x:c>
      <x:c r="D60" s="6" t="n">
        <x:v>11</x:v>
      </x:c>
      <x:c r="E60" s="7" t="str">
        <x:v>Один ОН объединяет Зелимхана Бакаева, Федора Смолова и Элдора Шомуродова. Другой ОН ассоциируется с джипом. Третий ОН комментировал команды, к которым имеет отношение второй ОН, сразу в двух дисциплинах. Назовите ЕГО.</x:v>
      </x:c>
      <x:c r="F60" s="7" t="str">
        <x:v>Не опубликован в посте</x:v>
      </x:c>
      <x:c r="G60" s="7" t="str">
        <x:v>Не размечено</x:v>
      </x:c>
      <x:c r="H60" s="7" t="str">
        <x:v>Спорт / смешанное</x:v>
      </x:c>
      <x:c r="I60" s="7" t="str">
        <x:v>OCR из карточки; требуется редакторская проверка</x:v>
      </x:c>
      <x:c r="J60" s="6"/>
      <x:c r="K60" s="6" t="str">
        <x:v>Не оценена</x:v>
      </x:c>
      <x:c r="L60" s="7" t="str">
        <x:v>telegram_archive/media/post_0145_photo_01.jpg</x:v>
      </x:c>
      <x:c r="M60" s="7"/>
      <x:c r="N60" s="7" t="str">
        <x:v>https://t.me/simple_quiz/145</x:v>
      </x:c>
    </x:row>
    <x:row r="61">
      <x:c r="A61" s="6" t="n">
        <x:v>60</x:v>
      </x:c>
      <x:c r="B61" s="6" t="str">
        <x:v>TG</x:v>
      </x:c>
      <x:c r="C61" s="6" t="str">
        <x:v>Telegram-архив</x:v>
      </x:c>
      <x:c r="D61" s="6" t="n">
        <x:v>12</x:v>
      </x:c>
      <x:c r="E61" s="7" t="str">
        <x:v>Этот оскорбительный термин применительно к девушкам регулярно вспоминают в русскоязычном твиттере. В одном из олимпийских видов спорта так можно безоценочно назвать его представительниц. Среди олимпийских чемпионок в этом виде спорта в 21 веке - чилийка Франсиска Кроветто, американки Эмбер Инглиш и Ким Роуд, итальянки Диана Бакози и Кьяра Кайнеро, венгерка Диана Игали. Наверное, несправедливо, что некоторым из вас официанты принесли подсказку. Назовите этот термин.</x:v>
      </x:c>
      <x:c r="F61" s="7" t="str">
        <x:v>Тарелочница</x:v>
      </x:c>
      <x:c r="G61" s="7" t="str">
        <x:v>Не размечено</x:v>
      </x:c>
      <x:c r="H61" s="7" t="str">
        <x:v>Спорт / смешанное</x:v>
      </x:c>
      <x:c r="I61" s="7" t="str">
        <x:v>Ответ подтверждён реакцией канала: https://t.me/simple_quiz/157?comment=364</x:v>
      </x:c>
      <x:c r="J61" s="6"/>
      <x:c r="K61" s="6" t="str">
        <x:v>Не оценена</x:v>
      </x:c>
      <x:c r="L61" s="7" t="str">
        <x:v>telegram_archive/media/post_0157_photo_01.jpg</x:v>
      </x:c>
      <x:c r="M61" s="7"/>
      <x:c r="N61" s="7" t="str">
        <x:v>https://t.me/simple_quiz/157</x:v>
      </x:c>
    </x:row>
    <x:row r="62">
      <x:c r="A62" s="6" t="n">
        <x:v>61</x:v>
      </x:c>
      <x:c r="B62" s="6" t="str">
        <x:v>TG</x:v>
      </x:c>
      <x:c r="C62" s="6" t="str">
        <x:v>Telegram-архив</x:v>
      </x:c>
      <x:c r="D62" s="6" t="n">
        <x:v>13</x:v>
      </x:c>
      <x:c r="E62" s="7" t="str">
        <x:v>Валентин Серов посвятил краже ИКС не одно полотно: говорят, он написал шесть вариантов картины. Карло Анчелотти вызвал 25 футболистов на первые для него у руля матчи сборной Бразилии. Четыре из них никогда не играли в ИКС. Несмотря на то, что технически вы в ИКС прямо сейчас, некоторые из вас могут похвастаться, что были в ИКС. Назовите ИКС.</x:v>
      </x:c>
      <x:c r="F62" s="7" t="str">
        <x:v>Европа</x:v>
      </x:c>
      <x:c r="G62" s="7" t="str">
        <x:v>Не размечено</x:v>
      </x:c>
      <x:c r="H62" s="7" t="str">
        <x:v>Спорт / смешанное</x:v>
      </x:c>
      <x:c r="I62" s="7" t="str">
        <x:v>Ответ подтверждён реакцией канала: https://t.me/simple_quiz/178?comment=423</x:v>
      </x:c>
      <x:c r="J62" s="6"/>
      <x:c r="K62" s="6" t="str">
        <x:v>Не оценена</x:v>
      </x:c>
      <x:c r="L62" s="7" t="str">
        <x:v>telegram_archive/media/post_0178_photo_01.jpg</x:v>
      </x:c>
      <x:c r="M62" s="7"/>
      <x:c r="N62" s="7" t="str">
        <x:v>https://t.me/simple_quiz/178</x:v>
      </x:c>
    </x:row>
    <x:row r="63">
      <x:c r="A63" s="6" t="n">
        <x:v>62</x:v>
      </x:c>
      <x:c r="B63" s="6" t="str">
        <x:v>TG</x:v>
      </x:c>
      <x:c r="C63" s="6" t="str">
        <x:v>Telegram-архив</x:v>
      </x:c>
      <x:c r="D63" s="6" t="n">
        <x:v>14</x:v>
      </x:c>
      <x:c r="E63" s="7" t="str">
        <x:v>В конце 15 века итальянский художник написал картину, на которой было изображено первое событие в жизни АЛЬФЫ. Картина была написана по заказу представителя семьи Медичи. Полотно до сих пор хранится в галерее Уффици. 17 июня 1980 года произошло первое событие в жизни другой АЛЬФЫ. Напишите в ответе название картины.</x:v>
      </x:c>
      <x:c r="F63" s="7" t="str">
        <x:v>«Рождение Венеры»</x:v>
      </x:c>
      <x:c r="G63" s="7" t="str">
        <x:v>Не размечено</x:v>
      </x:c>
      <x:c r="H63" s="7" t="str">
        <x:v>Спорт / смешанное</x:v>
      </x:c>
      <x:c r="I63" s="7" t="str">
        <x:v>Ответ подтверждён реакцией канала: https://t.me/simple_quiz/180?comment=451</x:v>
      </x:c>
      <x:c r="J63" s="6"/>
      <x:c r="K63" s="6" t="str">
        <x:v>Не оценена</x:v>
      </x:c>
      <x:c r="L63" s="7" t="str">
        <x:v>telegram_archive/media/post_0180_photo_01.jpg</x:v>
      </x:c>
      <x:c r="M63" s="7"/>
      <x:c r="N63" s="7" t="str">
        <x:v>https://t.me/simple_quiz/180</x:v>
      </x:c>
    </x:row>
    <x:row r="64">
      <x:c r="A64" s="6" t="n">
        <x:v>63</x:v>
      </x:c>
      <x:c r="B64" s="6" t="str">
        <x:v>TG</x:v>
      </x:c>
      <x:c r="C64" s="6" t="str">
        <x:v>Telegram-архив</x:v>
      </x:c>
      <x:c r="D64" s="6" t="n">
        <x:v>15</x:v>
      </x:c>
      <x:c r="E64" s="7" t="str">
        <x:v>В английском языке это слово означает близкого друга, братишку. Если это же слово написать кириллицей, получится некое действие во множественном числе, свидетелем которого можно стать, например, в петанке, дартсе и водном поло. Напишите это слово кириллицей.</x:v>
      </x:c>
      <x:c r="F64" s="7" t="str">
        <x:v>Броски</x:v>
      </x:c>
      <x:c r="G64" s="7" t="str">
        <x:v>Не размечено</x:v>
      </x:c>
      <x:c r="H64" s="7" t="str">
        <x:v>Спорт / смешанное</x:v>
      </x:c>
      <x:c r="I64" s="7" t="str">
        <x:v>Ответ подтверждён реакцией канала: https://t.me/simple_quiz/181?comment=459</x:v>
      </x:c>
      <x:c r="J64" s="6"/>
      <x:c r="K64" s="6" t="str">
        <x:v>Не оценена</x:v>
      </x:c>
      <x:c r="L64" s="7" t="str">
        <x:v>telegram_archive/media/post_0181_photo_01.jpg</x:v>
      </x:c>
      <x:c r="M64" s="7"/>
      <x:c r="N64" s="7" t="str">
        <x:v>https://t.me/simple_quiz/181</x:v>
      </x:c>
    </x:row>
    <x:row r="65">
      <x:c r="A65" s="6" t="n">
        <x:v>64</x:v>
      </x:c>
      <x:c r="B65" s="6" t="str">
        <x:v>TG</x:v>
      </x:c>
      <x:c r="C65" s="6" t="str">
        <x:v>Telegram-архив</x:v>
      </x:c>
      <x:c r="D65" s="6" t="n">
        <x:v>16</x:v>
      </x:c>
      <x:c r="E65" s="7" t="str">
        <x:v>У группы Oasis и рэпера Big Baby Tape есть треки с одинаковым названием. Увидев название этих треков, в голову сразу приходит важный для истории НБА город. О каком городе речь?</x:v>
      </x:c>
      <x:c r="F65" s="7" t="str">
        <x:v>Сиэтл</x:v>
      </x:c>
      <x:c r="G65" s="7" t="str">
        <x:v>Не размечено</x:v>
      </x:c>
      <x:c r="H65" s="7" t="str">
        <x:v>Спорт / смешанное</x:v>
      </x:c>
      <x:c r="I65" s="7" t="str">
        <x:v>Ответ подтверждён реакцией канала: https://t.me/simple_quiz/187?comment=485</x:v>
      </x:c>
      <x:c r="J65" s="6"/>
      <x:c r="K65" s="6" t="str">
        <x:v>Не оценена</x:v>
      </x:c>
      <x:c r="L65" s="7" t="str">
        <x:v>telegram_archive/media/post_0187_photo_01.jpg</x:v>
      </x:c>
      <x:c r="M65" s="7"/>
      <x:c r="N65" s="7" t="str">
        <x:v>https://t.me/simple_quiz/187</x:v>
      </x:c>
    </x:row>
    <x:row r="66">
      <x:c r="A66" s="6" t="n">
        <x:v>65</x:v>
      </x:c>
      <x:c r="B66" s="6" t="str">
        <x:v>TG</x:v>
      </x:c>
      <x:c r="C66" s="6" t="str">
        <x:v>Telegram-архив</x:v>
      </x:c>
      <x:c r="D66" s="6" t="n">
        <x:v>17</x:v>
      </x:c>
      <x:c r="E66" s="7" t="str">
        <x:v>Российского предпринимателя из Троицка, который открыл бизнес в Сыктывкаре, и линию обороны футбольного клуба «Рома» с 2012 по 2014. год, объединяют два повторяющихся слога. Напишите эти два одинаковых слога.</x:v>
      </x:c>
      <x:c r="F66" s="7" t="str">
        <x:v>Додо</x:v>
      </x:c>
      <x:c r="G66" s="7" t="str">
        <x:v>Не размечено</x:v>
      </x:c>
      <x:c r="H66" s="7" t="str">
        <x:v>Спорт / смешанное</x:v>
      </x:c>
      <x:c r="I66" s="7" t="str">
        <x:v>Ответ подтверждён реакцией канала: https://t.me/simple_quiz/206?comment=535</x:v>
      </x:c>
      <x:c r="J66" s="6"/>
      <x:c r="K66" s="6" t="str">
        <x:v>Не оценена</x:v>
      </x:c>
      <x:c r="L66" s="7" t="str">
        <x:v>telegram_archive/media/post_0206_photo_01.jpg</x:v>
      </x:c>
      <x:c r="M66" s="7"/>
      <x:c r="N66" s="7" t="str">
        <x:v>https://t.me/simple_quiz/206</x:v>
      </x:c>
    </x:row>
    <x:row r="67">
      <x:c r="A67" s="6" t="n">
        <x:v>66</x:v>
      </x:c>
      <x:c r="B67" s="6" t="str">
        <x:v>TG</x:v>
      </x:c>
      <x:c r="C67" s="6" t="str">
        <x:v>Telegram-архив</x:v>
      </x:c>
      <x:c r="D67" s="6" t="n">
        <x:v>18</x:v>
      </x:c>
      <x:c r="E67" s="7" t="str">
        <x:v>Вот список 12 апостолов: Петр, Андрей, Иаков Зеведеев, Иоанн, Варфоломей, Фома, Матфей, Иаков Алфеев, Иуда Фаддей, Симон Кананит, Иуда Искариот и ИКС. ИКС — фамилия футболиста, который отыграл 27 матчей за московское «Динамо» в РПЛ. Назовите ИКС.</x:v>
      </x:c>
      <x:c r="F67" s="7" t="str">
        <x:v>Не опубликован в посте</x:v>
      </x:c>
      <x:c r="G67" s="7" t="str">
        <x:v>Не размечено</x:v>
      </x:c>
      <x:c r="H67" s="7" t="str">
        <x:v>Спорт / смешанное</x:v>
      </x:c>
      <x:c r="I67" s="7" t="str">
        <x:v>OCR из карточки; требуется редакторская проверка</x:v>
      </x:c>
      <x:c r="J67" s="6"/>
      <x:c r="K67" s="6" t="str">
        <x:v>Не оценена</x:v>
      </x:c>
      <x:c r="L67" s="7" t="str">
        <x:v>telegram_archive/media/post_0207_photo_01.jpg</x:v>
      </x:c>
      <x:c r="M67" s="7"/>
      <x:c r="N67" s="7" t="str">
        <x:v>https://t.me/simple_quiz/207</x:v>
      </x:c>
    </x:row>
    <x:row r="68">
      <x:c r="A68" s="6" t="n">
        <x:v>67</x:v>
      </x:c>
      <x:c r="B68" s="6" t="str">
        <x:v>TG</x:v>
      </x:c>
      <x:c r="C68" s="6" t="str">
        <x:v>Telegram-архив</x:v>
      </x:c>
      <x:c r="D68" s="6" t="n">
        <x:v>19</x:v>
      </x:c>
      <x:c r="E68" s="7" t="str">
        <x:v>В 2019 году в сторисах Sports.ru провели небольшой квиз из трех картинок. На первой была показана картина «Впечатление». Вопрос на картинке был следующим: «Это шедевр ИКСА?» Правильный ответ, конечно, — «Нет». На второй тот же вопрос с тем же ответом дали рядом с картиной «Олимпия». На третьей была фотография из матча «Ливерпуль» - «Бавария». Вопрос на картинке совпадал: «Это шедевр ИКСА?» Правильный ответ - «Да!» В ЛЧ-2018/19 ИКС забил 4 гола. Назовите ИКС двумя словами.</x:v>
      </x:c>
      <x:c r="F68" s="7" t="str">
        <x:v>Садио Мане</x:v>
      </x:c>
      <x:c r="G68" s="7" t="str">
        <x:v>Не размечено</x:v>
      </x:c>
      <x:c r="H68" s="7" t="str">
        <x:v>Спорт / смешанное</x:v>
      </x:c>
      <x:c r="I68" s="7" t="str">
        <x:v>Ответ подтверждён реакцией канала: https://t.me/simple_quiz/213?comment=553</x:v>
      </x:c>
      <x:c r="J68" s="6"/>
      <x:c r="K68" s="6" t="str">
        <x:v>Не оценена</x:v>
      </x:c>
      <x:c r="L68" s="7" t="str">
        <x:v>telegram_archive/media/post_0213_photo_01.jpg</x:v>
      </x:c>
      <x:c r="M68" s="7"/>
      <x:c r="N68" s="7" t="str">
        <x:v>https://t.me/simple_quiz/213</x:v>
      </x:c>
    </x:row>
    <x:row r="69">
      <x:c r="A69" s="6" t="n">
        <x:v>68</x:v>
      </x:c>
      <x:c r="B69" s="6" t="str">
        <x:v>TG</x:v>
      </x:c>
      <x:c r="C69" s="6" t="str">
        <x:v>Telegram-архив</x:v>
      </x:c>
      <x:c r="D69" s="6" t="n">
        <x:v>20</x:v>
      </x:c>
      <x:c r="E69" s="7" t="str">
        <x:v>Аксель Крюгер, признанный лучшим игроком «Брюне» в одном из весенних матчей чемпионата Норвегии-2025, в качестве приза получил ИКС. ИКС является важнейшим символом одного из главных религиозных праздников христиан, а английским названием близкого родственника ИКСА можно назвать Майкла Фелпса, Усейна Болта, Тони Хоука и Александра Костылева. Назовите ИКС.</x:v>
      </x:c>
      <x:c r="F69" s="7" t="str">
        <x:v>Не опубликован в посте</x:v>
      </x:c>
      <x:c r="G69" s="7" t="str">
        <x:v>Не размечено</x:v>
      </x:c>
      <x:c r="H69" s="7" t="str">
        <x:v>Спорт / смешанное</x:v>
      </x:c>
      <x:c r="I69" s="7" t="str">
        <x:v>OCR из карточки; требуется редакторская проверка</x:v>
      </x:c>
      <x:c r="J69" s="6"/>
      <x:c r="K69" s="6" t="str">
        <x:v>Не оценена</x:v>
      </x:c>
      <x:c r="L69" s="7" t="str">
        <x:v>telegram_archive/media/post_0238_photo_01.jpg</x:v>
      </x:c>
      <x:c r="M69" s="7"/>
      <x:c r="N69" s="7" t="str">
        <x:v>https://t.me/simple_quiz/238</x:v>
      </x:c>
    </x:row>
    <x:row r="70">
      <x:c r="A70" s="6" t="n">
        <x:v>69</x:v>
      </x:c>
      <x:c r="B70" s="6" t="str">
        <x:v>TG</x:v>
      </x:c>
      <x:c r="C70" s="6" t="str">
        <x:v>Telegram-архив</x:v>
      </x:c>
      <x:c r="D70" s="6" t="n">
        <x:v>21</x:v>
      </x:c>
      <x:c r="E70" s="7" t="str">
        <x:v>В треке Carefree, вышедшем в 2021 году, рэпер Songer занеймдроппил очень много футболистов. В одной из строчек он говорит, что у «Манчестер Сити» есть Рахим Стерлинг, но нет страйкера, поэтому клуб из Манчестера хочет ЕГО. За кем, по мнению Songer, охотился «Сити»?</x:v>
      </x:c>
      <x:c r="F70" s="7" t="str">
        <x:v>Эрлинг Холанд</x:v>
      </x:c>
      <x:c r="G70" s="7" t="str">
        <x:v>Не размечено</x:v>
      </x:c>
      <x:c r="H70" s="7" t="str">
        <x:v>Спорт / смешанное</x:v>
      </x:c>
      <x:c r="I70" s="7" t="str">
        <x:v>Ответ подтверждён реакцией канала: https://t.me/simple_quiz/251?comment=645</x:v>
      </x:c>
      <x:c r="J70" s="6"/>
      <x:c r="K70" s="6" t="str">
        <x:v>Не оценена</x:v>
      </x:c>
      <x:c r="L70" s="7" t="str">
        <x:v>telegram_archive/media/post_0251_photo_01.jpg</x:v>
      </x:c>
      <x:c r="M70" s="7"/>
      <x:c r="N70" s="7" t="str">
        <x:v>https://t.me/simple_quiz/251</x:v>
      </x:c>
    </x:row>
    <x:row r="71">
      <x:c r="A71" s="6" t="n">
        <x:v>70</x:v>
      </x:c>
      <x:c r="B71" s="6" t="str">
        <x:v>TG</x:v>
      </x:c>
      <x:c r="C71" s="6" t="str">
        <x:v>Telegram-архив</x:v>
      </x:c>
      <x:c r="D71" s="6" t="n">
        <x:v>22</x:v>
      </x:c>
      <x:c r="E71" s="7" t="str">
        <x:v>По состоянию на 2025 год Израиль, Кипр и Армения - единственные члены УЕФА, у которых нет ЭТОГО. О чем речь?</x:v>
      </x:c>
      <x:c r="F71" s="7" t="str">
        <x:v>Нахождение на территории Европы</x:v>
      </x:c>
      <x:c r="G71" s="7" t="str">
        <x:v>Не размечено</x:v>
      </x:c>
      <x:c r="H71" s="7" t="str">
        <x:v>Спорт / смешанное</x:v>
      </x:c>
      <x:c r="I71" s="7" t="str">
        <x:v>Ответ подтверждён реакцией канала: https://t.me/simple_quiz/261?comment=669</x:v>
      </x:c>
      <x:c r="J71" s="6"/>
      <x:c r="K71" s="6" t="str">
        <x:v>Не оценена</x:v>
      </x:c>
      <x:c r="L71" s="7" t="str">
        <x:v>telegram_archive/media/post_0261_photo_01.jpg</x:v>
      </x:c>
      <x:c r="M71" s="7"/>
      <x:c r="N71" s="7" t="str">
        <x:v>https://t.me/simple_quiz/261</x:v>
      </x:c>
    </x:row>
    <x:row r="72">
      <x:c r="A72" s="6" t="n">
        <x:v>71</x:v>
      </x:c>
      <x:c r="B72" s="6" t="str">
        <x:v>TG</x:v>
      </x:c>
      <x:c r="C72" s="6" t="str">
        <x:v>Telegram-архив</x:v>
      </x:c>
      <x:c r="D72" s="6" t="n">
        <x:v>23</x:v>
      </x:c>
      <x:c r="E72" s="7" t="str">
        <x:v>В сезоне-2025/26 в АПЛ их 7, в Чемпионшипе — 3, в английской Лиге 1 - 2, ав Лиге 2-1. О чем речь?</x:v>
      </x:c>
      <x:c r="F72" s="7" t="str">
        <x:v>Клубы из Лондона</x:v>
      </x:c>
      <x:c r="G72" s="7" t="str">
        <x:v>Не размечено</x:v>
      </x:c>
      <x:c r="H72" s="7" t="str">
        <x:v>Спорт / смешанное</x:v>
      </x:c>
      <x:c r="I72" s="7" t="str">
        <x:v>Ответ подтверждён реакцией канала: https://t.me/simple_quiz/262?comment=667</x:v>
      </x:c>
      <x:c r="J72" s="6"/>
      <x:c r="K72" s="6" t="str">
        <x:v>Не оценена</x:v>
      </x:c>
      <x:c r="L72" s="7" t="str">
        <x:v>telegram_archive/media/post_0262_photo_01.jpg</x:v>
      </x:c>
      <x:c r="M72" s="7"/>
      <x:c r="N72" s="7" t="str">
        <x:v>https://t.me/simple_quiz/262</x:v>
      </x:c>
    </x:row>
    <x:row r="73">
      <x:c r="A73" s="6" t="n">
        <x:v>72</x:v>
      </x:c>
      <x:c r="B73" s="6" t="str">
        <x:v>TG</x:v>
      </x:c>
      <x:c r="C73" s="6" t="str">
        <x:v>Telegram-архив</x:v>
      </x:c>
      <x:c r="D73" s="6" t="n">
        <x:v>24</x:v>
      </x:c>
      <x:c r="E73" s="7" t="str">
        <x:v>829 7” Sf о® Этот футболист провел всего год в «Дженоз», а потом укатил в Англию и следующие 8 лет играл исключительно в английских клубах. По окончании карьеры он тренировал клубы из восьми разных стран (и, в частности, работал в двух командах РПЛ). Аниме, в названии которого аж дважды содержится имя этого футболиста, прямо сейчас можно посмотреть в «Амедиатеке», а первые серии второго сезона летом показывали в московских кинотеатрах. Назовите этого футболиста. т WIN BOX od</x:v>
      </x:c>
      <x:c r="F73" s="7" t="str">
        <x:v>Дан Петреску</x:v>
      </x:c>
      <x:c r="G73" s="7" t="str">
        <x:v>Не размечено</x:v>
      </x:c>
      <x:c r="H73" s="7" t="str">
        <x:v>Спорт / смешанное</x:v>
      </x:c>
      <x:c r="I73" s="7" t="str">
        <x:v>Ответ подтверждён реакцией канала: https://t.me/simple_quiz/263?comment=673</x:v>
      </x:c>
      <x:c r="J73" s="6"/>
      <x:c r="K73" s="6" t="str">
        <x:v>Не оценена</x:v>
      </x:c>
      <x:c r="L73" s="7" t="str">
        <x:v>telegram_archive/media/post_0263_photo_01.jpg</x:v>
      </x:c>
      <x:c r="M73" s="7"/>
      <x:c r="N73" s="7" t="str">
        <x:v>https://t.me/simple_quiz/263</x:v>
      </x:c>
    </x:row>
    <x:row r="74">
      <x:c r="A74" s="6" t="n">
        <x:v>73</x:v>
      </x:c>
      <x:c r="B74" s="6" t="str">
        <x:v>TG</x:v>
      </x:c>
      <x:c r="C74" s="6" t="str">
        <x:v>Telegram-архив</x:v>
      </x:c>
      <x:c r="D74" s="6" t="n">
        <x:v>25</x:v>
      </x:c>
      <x:c r="E74" s="7" t="str">
        <x:v>9 2? Sf o° P Если записать названия клубов Ла Лиги с помощью элементов периодической таблицы, это получится с «Осасуной» (Os, As, Ц, Ма), «Бетисом» (Re, Al, Be, Ti, $) иеще одним клубом. В 2020 году этот клуб на один матч убрал из своего названия 4 буквы, оставив лишь Te, что с испанского переводятся как «вера», а в периодической таблице находятся на 26-м месте. Назовите этот клуб. — WIN вох ool</x:v>
      </x:c>
      <x:c r="F74" s="7" t="str">
        <x:v>Хетафе</x:v>
      </x:c>
      <x:c r="G74" s="7" t="str">
        <x:v>Не размечено</x:v>
      </x:c>
      <x:c r="H74" s="7" t="str">
        <x:v>Спорт / смешанное</x:v>
      </x:c>
      <x:c r="I74" s="7" t="str">
        <x:v>Ответ подтверждён реакцией канала: https://t.me/simple_quiz/264?comment=681</x:v>
      </x:c>
      <x:c r="J74" s="6"/>
      <x:c r="K74" s="6" t="str">
        <x:v>Не оценена</x:v>
      </x:c>
      <x:c r="L74" s="7" t="str">
        <x:v>telegram_archive/media/post_0264_photo_01.jpg</x:v>
      </x:c>
      <x:c r="M74" s="7"/>
      <x:c r="N74" s="7" t="str">
        <x:v>https://t.me/simple_quiz/264</x:v>
      </x:c>
    </x:row>
    <x:row r="75">
      <x:c r="A75" s="6" t="n">
        <x:v>74</x:v>
      </x:c>
      <x:c r="B75" s="6" t="str">
        <x:v>TG</x:v>
      </x:c>
      <x:c r="C75" s="6" t="str">
        <x:v>Telegram-архив</x:v>
      </x:c>
      <x:c r="D75" s="6" t="n">
        <x:v>26</x:v>
      </x:c>
      <x:c r="E75" s="7" t="str">
        <x:v>9 2? ve Va A о® АЛЬФА - вещь, которую видел или даже держал в руках каждый из вас. Один килограмм вяленых АЛЬФ можно найти на маркетплейсах за 3500 рублей, в то же время мешок АЛЬФ оценивают всего в 500 рублей. АЛЬФУ можно найти и на эмблеме одного из клубов Бундеслиги. Понять, какая именно АЛЬФА на эмблеме, просто: небольшой размер, округлая форма и направление вверх. Назовите АЛЬФУ. ее cnunmnn WIN BOX ool</x:v>
      </x:c>
      <x:c r="F75" s="7" t="str">
        <x:v>Кедровая шишка</x:v>
      </x:c>
      <x:c r="G75" s="7" t="str">
        <x:v>Не размечено</x:v>
      </x:c>
      <x:c r="H75" s="7" t="str">
        <x:v>Спорт / смешанное</x:v>
      </x:c>
      <x:c r="I75" s="7" t="str">
        <x:v>Ответ подтверждён реакцией канала: https://t.me/simple_quiz/265?comment=688</x:v>
      </x:c>
      <x:c r="J75" s="6"/>
      <x:c r="K75" s="6" t="str">
        <x:v>Не оценена</x:v>
      </x:c>
      <x:c r="L75" s="7" t="str">
        <x:v>telegram_archive/media/post_0265_photo_01.jpg</x:v>
      </x:c>
      <x:c r="M75" s="7"/>
      <x:c r="N75" s="7" t="str">
        <x:v>https://t.me/simple_quiz/265</x:v>
      </x:c>
    </x:row>
    <x:row r="76">
      <x:c r="A76" s="6" t="n">
        <x:v>75</x:v>
      </x:c>
      <x:c r="B76" s="6" t="str">
        <x:v>TG</x:v>
      </x:c>
      <x:c r="C76" s="6" t="str">
        <x:v>Telegram-архив</x:v>
      </x:c>
      <x:c r="D76" s="6" t="n">
        <x:v>27</x:v>
      </x:c>
      <x:c r="E76" s="7" t="str">
        <x:v>Надпись на футболке этого футболиста в зависимости от эпохи и культурного контекста может означать как устройство для воспроизведения видео, так и последовательность чисел 5, 1, 500, 1, 100. Назовите этого футболиста.</x:v>
      </x:c>
      <x:c r="F76" s="7" t="str">
        <x:v>Неманья Видич</x:v>
      </x:c>
      <x:c r="G76" s="7" t="str">
        <x:v>Не размечено</x:v>
      </x:c>
      <x:c r="H76" s="7" t="str">
        <x:v>Спорт / смешанное</x:v>
      </x:c>
      <x:c r="I76" s="7" t="str">
        <x:v>Ответ подтверждён реакцией канала: https://t.me/simple_quiz/285?comment=737</x:v>
      </x:c>
      <x:c r="J76" s="6"/>
      <x:c r="K76" s="6" t="str">
        <x:v>Не оценена</x:v>
      </x:c>
      <x:c r="L76" s="7" t="str">
        <x:v>telegram_archive/media/post_0285_photo_01.jpg</x:v>
      </x:c>
      <x:c r="M76" s="7"/>
      <x:c r="N76" s="7" t="str">
        <x:v>https://t.me/simple_quiz/285</x:v>
      </x:c>
    </x:row>
    <x:row r="77">
      <x:c r="A77" s="6" t="n">
        <x:v>76</x:v>
      </x:c>
      <x:c r="B77" s="6" t="str">
        <x:v>TG</x:v>
      </x:c>
      <x:c r="C77" s="6" t="str">
        <x:v>Telegram-архив</x:v>
      </x:c>
      <x:c r="D77" s="6" t="n">
        <x:v>28</x:v>
      </x:c>
      <x:c r="E77" s="7" t="str">
        <x:v>Футбольный тренер Антон Михашенок в подкасте Cappucino &amp; Catenaccio объяснил, что с середины 2000-х по середину 2010-х скауты отдавали футболистам с определенной особенностью большее предпочтение, чем другим. «Это называется bias - скаутам при просмотре матча проще отличать игрока по какому-то признаку, и если они ориентировались только на свои глаза, то выделяли определенных футболистов», — уточнил журналист Вадим Лукомский. Михашенок описал этот фактор каламбуром из одного слова и усмехнулся, что в этот период все футболисты начали дословно это делать ТАК. Напишите, что такое ТАК, если это наречие из девяти букв.</x:v>
      </x:c>
      <x:c r="F77" s="7" t="str">
        <x:v>Не опубликован в посте</x:v>
      </x:c>
      <x:c r="G77" s="7" t="str">
        <x:v>Не размечено</x:v>
      </x:c>
      <x:c r="H77" s="7" t="str">
        <x:v>Спорт / смешанное</x:v>
      </x:c>
      <x:c r="I77" s="7" t="str">
        <x:v>OCR из карточки; требуется редакторская проверка</x:v>
      </x:c>
      <x:c r="J77" s="6"/>
      <x:c r="K77" s="6" t="str">
        <x:v>Не оценена</x:v>
      </x:c>
      <x:c r="L77" s="7" t="str">
        <x:v>telegram_archive/media/post_0286_photo_01.jpg</x:v>
      </x:c>
      <x:c r="M77" s="7"/>
      <x:c r="N77" s="7" t="str">
        <x:v>https://t.me/simple_quiz/286</x:v>
      </x:c>
    </x:row>
    <x:row r="78">
      <x:c r="A78" s="6" t="n">
        <x:v>77</x:v>
      </x:c>
      <x:c r="B78" s="6" t="str">
        <x:v>TG</x:v>
      </x:c>
      <x:c r="C78" s="6" t="str">
        <x:v>Telegram-архив</x:v>
      </x:c>
      <x:c r="D78" s="6" t="n">
        <x:v>29</x:v>
      </x:c>
      <x:c r="E78" s="7" t="str">
        <x:v>ОМЕГА - локально культовый российский спортсмен не только благодаря результатам, но и благодаря ассоциации с трехзначным четным числом. Как только ты захотел спеть или сыграть музыкальное произведение с кем-то, ОМЕГА перестает быть ОМЕГОИ. Назовите ОМЕГУ.</x:v>
      </x:c>
      <x:c r="F78" s="7" t="str">
        <x:v>Соло 322</x:v>
      </x:c>
      <x:c r="G78" s="7" t="str">
        <x:v>Не размечено</x:v>
      </x:c>
      <x:c r="H78" s="7" t="str">
        <x:v>Спорт / смешанное</x:v>
      </x:c>
      <x:c r="I78" s="7" t="str">
        <x:v>Ответ подтверждён реакцией канала: https://t.me/simple_quiz/291?comment=760</x:v>
      </x:c>
      <x:c r="J78" s="6"/>
      <x:c r="K78" s="6" t="str">
        <x:v>Не оценена</x:v>
      </x:c>
      <x:c r="L78" s="7" t="str">
        <x:v>telegram_archive/media/post_0291_photo_01.jpg</x:v>
      </x:c>
      <x:c r="M78" s="7"/>
      <x:c r="N78" s="7" t="str">
        <x:v>https://t.me/simple_quiz/291</x:v>
      </x:c>
    </x:row>
    <x:row r="79">
      <x:c r="A79" s="6" t="n">
        <x:v>78</x:v>
      </x:c>
      <x:c r="B79" s="6" t="str">
        <x:v>TG</x:v>
      </x:c>
      <x:c r="C79" s="6" t="str">
        <x:v>Telegram-архив</x:v>
      </x:c>
      <x:c r="D79" s="6" t="n">
        <x:v>30</x:v>
      </x:c>
      <x:c r="E79" s="7" t="str">
        <x:v>Песня с названием «ИКС» вышла на альбоме 1999 года. 19 лет спустя та же группа выпустила песню «В ИКСЕ». Поклонники ИКСА поют ее на трибунах намного чаще. Назовите ИКС.</x:v>
      </x:c>
      <x:c r="F79" s="7" t="str">
        <x:v>Зенит</x:v>
      </x:c>
      <x:c r="G79" s="7" t="str">
        <x:v>Не размечено</x:v>
      </x:c>
      <x:c r="H79" s="7" t="str">
        <x:v>Спорт / смешанное</x:v>
      </x:c>
      <x:c r="I79" s="7" t="str">
        <x:v>Ответ подтверждён реакцией канала: https://t.me/simple_quiz/294?comment=772</x:v>
      </x:c>
      <x:c r="J79" s="6"/>
      <x:c r="K79" s="6" t="str">
        <x:v>Не оценена</x:v>
      </x:c>
      <x:c r="L79" s="7" t="str">
        <x:v>telegram_archive/media/post_0294_photo_01.jpg</x:v>
      </x:c>
      <x:c r="M79" s="7"/>
      <x:c r="N79" s="7" t="str">
        <x:v>https://t.me/simple_quiz/294</x:v>
      </x:c>
    </x:row>
    <x:row r="80">
      <x:c r="A80" s="6" t="n">
        <x:v>79</x:v>
      </x:c>
      <x:c r="B80" s="6" t="str">
        <x:v>TG</x:v>
      </x:c>
      <x:c r="C80" s="6" t="str">
        <x:v>Telegram-архив</x:v>
      </x:c>
      <x:c r="D80" s="6" t="n">
        <x:v>31</x:v>
      </x:c>
      <x:c r="E80" s="7" t="str">
        <x:v>Из некоторых сокращений команд НХЛ получается слово на английском. Так, сокращение «Питтсбурга» — PIT — переводится как «яма», а сокращение «Сиэтла» - SEA - переводится как «море». Сокращения сразу двух клубов НХЛ в переводе означают транспортные средства. Назовите эти транспортные средства.</x:v>
      </x:c>
      <x:c r="F80" s="7" t="str">
        <x:v>Car и van</x:v>
      </x:c>
      <x:c r="G80" s="7" t="str">
        <x:v>Не размечено</x:v>
      </x:c>
      <x:c r="H80" s="7" t="str">
        <x:v>Спорт / смешанное</x:v>
      </x:c>
      <x:c r="I80" s="7" t="str">
        <x:v>Ответ подтверждён реакцией канала: https://t.me/simple_quiz/301?comment=788</x:v>
      </x:c>
      <x:c r="J80" s="6"/>
      <x:c r="K80" s="6" t="str">
        <x:v>Не оценена</x:v>
      </x:c>
      <x:c r="L80" s="7" t="str">
        <x:v>telegram_archive/media/post_0301_photo_01.jpg</x:v>
      </x:c>
      <x:c r="M80" s="7"/>
      <x:c r="N80" s="7" t="str">
        <x:v>https://t.me/simple_quiz/301</x:v>
      </x:c>
    </x:row>
    <x:row r="81">
      <x:c r="A81" s="6" t="n">
        <x:v>80</x:v>
      </x:c>
      <x:c r="B81" s="6" t="str">
        <x:v>TG</x:v>
      </x:c>
      <x:c r="C81" s="6" t="str">
        <x:v>Telegram-архив</x:v>
      </x:c>
      <x:c r="D81" s="6" t="n">
        <x:v>32</x:v>
      </x:c>
      <x:c r="E81" s="7" t="str">
        <x:v>В стандартной клавиатуре Windows 104 клавиши. Одна из них практически не используется в играх — в том числе и в той серии, название которой иллюстрирует. Например, в версии видеоигры 2021 года этой клавиши не было, а в версии 2025 года она по умолчанию обозначала «Extra Action 1». О какой клавише речь?</x:v>
      </x:c>
      <x:c r="F81" s="7" t="str">
        <x:v>F1</x:v>
      </x:c>
      <x:c r="G81" s="7" t="str">
        <x:v>Не размечено</x:v>
      </x:c>
      <x:c r="H81" s="7" t="str">
        <x:v>Спорт / смешанное</x:v>
      </x:c>
      <x:c r="I81" s="7" t="str">
        <x:v>Ответ подтверждён реакцией канала: https://t.me/simple_quiz/302?comment=791</x:v>
      </x:c>
      <x:c r="J81" s="6"/>
      <x:c r="K81" s="6" t="str">
        <x:v>Не оценена</x:v>
      </x:c>
      <x:c r="L81" s="7" t="str">
        <x:v>telegram_archive/media/post_0302_photo_01.jpg</x:v>
      </x:c>
      <x:c r="M81" s="7"/>
      <x:c r="N81" s="7" t="str">
        <x:v>https://t.me/simple_quiz/302</x:v>
      </x:c>
    </x:row>
    <x:row r="82">
      <x:c r="A82" s="6" t="n">
        <x:v>81</x:v>
      </x:c>
      <x:c r="B82" s="6" t="str">
        <x:v>TG</x:v>
      </x:c>
      <x:c r="C82" s="6" t="str">
        <x:v>Telegram-архив</x:v>
      </x:c>
      <x:c r="D82" s="6" t="n">
        <x:v>33</x:v>
      </x:c>
      <x:c r="E82" s="7" t="str">
        <x:v>Псевдоним этого инди-исполнителя состоит из трех слов. Последние два описывают процесс, первое — ИКС: мужское имя в уменьшительной форме. Один из его самых популярных треков - «Волна». Также ИКС - разговорный синоним слова «команда». Назовите ИКС.</x:v>
      </x:c>
      <x:c r="F82" s="7" t="str">
        <x:v>Тима</x:v>
      </x:c>
      <x:c r="G82" s="7" t="str">
        <x:v>Не размечено</x:v>
      </x:c>
      <x:c r="H82" s="7" t="str">
        <x:v>Спорт / смешанное</x:v>
      </x:c>
      <x:c r="I82" s="7" t="str">
        <x:v>Ответ подтверждён реакцией канала: https://t.me/simple_quiz/320?comment=821</x:v>
      </x:c>
      <x:c r="J82" s="6"/>
      <x:c r="K82" s="6" t="str">
        <x:v>Не оценена</x:v>
      </x:c>
      <x:c r="L82" s="7" t="str">
        <x:v>telegram_archive/media/post_0320_photo_01.jpg</x:v>
      </x:c>
      <x:c r="M82" s="7"/>
      <x:c r="N82" s="7" t="str">
        <x:v>https://t.me/simple_quiz/320</x:v>
      </x:c>
    </x:row>
    <x:row r="83">
      <x:c r="A83" s="6" t="n">
        <x:v>82</x:v>
      </x:c>
      <x:c r="B83" s="6" t="str">
        <x:v>TG</x:v>
      </x:c>
      <x:c r="C83" s="6" t="str">
        <x:v>Telegram-архив</x:v>
      </x:c>
      <x:c r="D83" s="6" t="n">
        <x:v>34</x:v>
      </x:c>
      <x:c r="E83" s="7" t="str">
        <x:v>В 2022 году Василий Уткин говорил, что по утрам он обычно писал тексты, смотрел кино и даже делал зарядку. «Вы, наверное, удивитесь, но у меня дома есть ОНИ. И я ими пользуюсь по назначению», — рассказывал Василий. В отличие отлирического героя группы «Кровосток»: он пользовался ЕЙ не по назначению.</x:v>
      </x:c>
      <x:c r="F83" s="7" t="str">
        <x:v>Гантели</x:v>
      </x:c>
      <x:c r="G83" s="7" t="str">
        <x:v>Не размечено</x:v>
      </x:c>
      <x:c r="H83" s="7" t="str">
        <x:v>Спорт / смешанное</x:v>
      </x:c>
      <x:c r="I83" s="7" t="str">
        <x:v>Ответ подтверждён реакцией канала: https://t.me/simple_quiz/321?comment=825</x:v>
      </x:c>
      <x:c r="J83" s="6"/>
      <x:c r="K83" s="6" t="str">
        <x:v>Не оценена</x:v>
      </x:c>
      <x:c r="L83" s="7" t="str">
        <x:v>telegram_archive/media/post_0321_photo_01.jpg</x:v>
      </x:c>
      <x:c r="M83" s="7"/>
      <x:c r="N83" s="7" t="str">
        <x:v>https://t.me/simple_quiz/321</x:v>
      </x:c>
    </x:row>
    <x:row r="84">
      <x:c r="A84" s="6" t="n">
        <x:v>83</x:v>
      </x:c>
      <x:c r="B84" s="6" t="str">
        <x:v>TG</x:v>
      </x:c>
      <x:c r="C84" s="6" t="str">
        <x:v>Telegram-архив</x:v>
      </x:c>
      <x:c r="D84" s="6" t="n">
        <x:v>35</x:v>
      </x:c>
      <x:c r="E84" s="7" t="str">
        <x:v>Если на северо-западе Англии самые известные они - красные, то в Северной Каролине самые известные они - синие. О ком идет речь?</x:v>
      </x:c>
      <x:c r="F84" s="7" t="str">
        <x:v>Не опубликован в посте</x:v>
      </x:c>
      <x:c r="G84" s="7" t="str">
        <x:v>Не размечено</x:v>
      </x:c>
      <x:c r="H84" s="7" t="str">
        <x:v>Спорт / смешанное</x:v>
      </x:c>
      <x:c r="I84" s="7" t="str">
        <x:v>OCR из карточки; требуется редакторская проверка</x:v>
      </x:c>
      <x:c r="J84" s="6"/>
      <x:c r="K84" s="6" t="str">
        <x:v>Не оценена</x:v>
      </x:c>
      <x:c r="L84" s="7" t="str">
        <x:v>telegram_archive/media/post_0325_photo_01.jpg</x:v>
      </x:c>
      <x:c r="M84" s="7"/>
      <x:c r="N84" s="7" t="str">
        <x:v>https://t.me/simple_quiz/325</x:v>
      </x:c>
    </x:row>
    <x:row r="85">
      <x:c r="A85" s="6" t="n">
        <x:v>84</x:v>
      </x:c>
      <x:c r="B85" s="6" t="str">
        <x:v>TG</x:v>
      </x:c>
      <x:c r="C85" s="6" t="str">
        <x:v>Telegram-архив</x:v>
      </x:c>
      <x:c r="D85" s="6" t="n">
        <x:v>36</x:v>
      </x:c>
      <x:c r="E85" s="7" t="str">
        <x:v>В матчах ЦСКА можно стать свидетелем математического оксюморона. Его можно описать словосочетанием «ИКС ИГРЕКА». ИКС - часть фанатского сленга, а ИГРЕК - прозвище одного из футболистов ЦСКА. Назовите словосочетание, которое мы загадали.</x:v>
      </x:c>
      <x:c r="F85" s="7" t="str">
        <x:v>Угол круга</x:v>
      </x:c>
      <x:c r="G85" s="7" t="str">
        <x:v>Не размечено</x:v>
      </x:c>
      <x:c r="H85" s="7" t="str">
        <x:v>Спорт / смешанное</x:v>
      </x:c>
      <x:c r="I85" s="7" t="str">
        <x:v>Ответ подтверждён реакцией канала: https://t.me/simple_quiz/326?comment=843</x:v>
      </x:c>
      <x:c r="J85" s="6"/>
      <x:c r="K85" s="6" t="str">
        <x:v>Не оценена</x:v>
      </x:c>
      <x:c r="L85" s="7" t="str">
        <x:v>telegram_archive/media/post_0326_photo_01.jpg</x:v>
      </x:c>
      <x:c r="M85" s="7"/>
      <x:c r="N85" s="7" t="str">
        <x:v>https://t.me/simple_quiz/326</x:v>
      </x:c>
    </x:row>
    <x:row r="86">
      <x:c r="A86" s="6" t="n">
        <x:v>85</x:v>
      </x:c>
      <x:c r="B86" s="6" t="str">
        <x:v>TG</x:v>
      </x:c>
      <x:c r="C86" s="6" t="str">
        <x:v>Telegram-архив</x:v>
      </x:c>
      <x:c r="D86" s="6" t="n">
        <x:v>37</x:v>
      </x:c>
      <x:c r="E86" s="7" t="str">
        <x:v>Все мы подписываемся на блогеров или медиа в надежде получить кое-что качественное. ЭТОТ ИГРОК отличается от кое-чего наличием одной гласной буквы. Был ли ОН качественным - = вопрос дискуссионный, но 69 матчей за © 7 «Баварию» и 94 - за «Бордо» он провел О каком игроке идет речь? = i</x:v>
      </x:c>
      <x:c r="F86" s="7" t="str">
        <x:v>Контенто</x:v>
      </x:c>
      <x:c r="G86" s="7" t="str">
        <x:v>Не размечено</x:v>
      </x:c>
      <x:c r="H86" s="7" t="str">
        <x:v>Спорт / смешанное</x:v>
      </x:c>
      <x:c r="I86" s="7" t="str">
        <x:v>Ответ подтверждён реакцией канала: https://t.me/simple_quiz/327?comment=847</x:v>
      </x:c>
      <x:c r="J86" s="6"/>
      <x:c r="K86" s="6" t="str">
        <x:v>Не оценена</x:v>
      </x:c>
      <x:c r="L86" s="7" t="str">
        <x:v>telegram_archive/media/post_0327_photo_01.jpg</x:v>
      </x:c>
      <x:c r="M86" s="7"/>
      <x:c r="N86" s="7" t="str">
        <x:v>https://t.me/simple_quiz/327</x:v>
      </x:c>
    </x:row>
    <x:row r="87">
      <x:c r="A87" s="6" t="n">
        <x:v>86</x:v>
      </x:c>
      <x:c r="B87" s="6" t="str">
        <x:v>TG</x:v>
      </x:c>
      <x:c r="C87" s="6" t="str">
        <x:v>Telegram-архив</x:v>
      </x:c>
      <x:c r="D87" s="6" t="n">
        <x:v>38</x:v>
      </x:c>
      <x:c r="E87" s="7" t="str">
        <x:v>ИКС - российский бренд, который существует с 1995 года. Он специализируется на кетчупах, томатных пастах и уксусах. Сходить на ИКС у вас получится в НФЛ и MLB и не получится - в НХЛ, НБА и MLS. Назовите ИКС.</x:v>
      </x:c>
      <x:c r="F87" s="7" t="str">
        <x:v>Балтимор</x:v>
      </x:c>
      <x:c r="G87" s="7" t="str">
        <x:v>Не размечено</x:v>
      </x:c>
      <x:c r="H87" s="7" t="str">
        <x:v>Спорт / смешанное</x:v>
      </x:c>
      <x:c r="I87" s="7" t="str">
        <x:v>Ответ подтверждён реакцией канала: https://t.me/simple_quiz/330?comment=851</x:v>
      </x:c>
      <x:c r="J87" s="6"/>
      <x:c r="K87" s="6" t="str">
        <x:v>Не оценена</x:v>
      </x:c>
      <x:c r="L87" s="7" t="str">
        <x:v>telegram_archive/media/post_0330_photo_01.jpg</x:v>
      </x:c>
      <x:c r="M87" s="7"/>
      <x:c r="N87" s="7" t="str">
        <x:v>https://t.me/simple_quiz/330</x:v>
      </x:c>
    </x:row>
    <x:row r="88">
      <x:c r="A88" s="6" t="n">
        <x:v>87</x:v>
      </x:c>
      <x:c r="B88" s="6" t="str">
        <x:v>TG</x:v>
      </x:c>
      <x:c r="C88" s="6" t="str">
        <x:v>Telegram-архив</x:v>
      </x:c>
      <x:c r="D88" s="6" t="n">
        <x:v>39</x:v>
      </x:c>
      <x:c r="E88" s="7" t="str">
        <x:v>Этот испанский клуб назван в честь римского аналога древнегреческого героя. С 1952 года неизменным атрибутом логотипа этой команды является силуэт мужской головы с лавровым венком. В последний раз клуб играл в Ла Лиге в сезоне-2010/1, в предпоследний - в сезоне-1996/97. Назовите этот клуб.</x:v>
      </x:c>
      <x:c r="F88" s="7" t="str">
        <x:v>Не опубликован в посте</x:v>
      </x:c>
      <x:c r="G88" s="7" t="str">
        <x:v>Не размечено</x:v>
      </x:c>
      <x:c r="H88" s="7" t="str">
        <x:v>Спорт / смешанное</x:v>
      </x:c>
      <x:c r="I88" s="7" t="str">
        <x:v>OCR из карточки; требуется редакторская проверка</x:v>
      </x:c>
      <x:c r="J88" s="6"/>
      <x:c r="K88" s="6" t="str">
        <x:v>Не оценена</x:v>
      </x:c>
      <x:c r="L88" s="7" t="str">
        <x:v>telegram_archive/media/post_0345_photo_01.jpg</x:v>
      </x:c>
      <x:c r="M88" s="7"/>
      <x:c r="N88" s="7" t="str">
        <x:v>https://t.me/simple_quiz/345</x:v>
      </x:c>
    </x:row>
    <x:row r="89">
      <x:c r="A89" s="6" t="n">
        <x:v>88</x:v>
      </x:c>
      <x:c r="B89" s="6" t="str">
        <x:v>TG</x:v>
      </x:c>
      <x:c r="C89" s="6" t="str">
        <x:v>Telegram-архив</x:v>
      </x:c>
      <x:c r="D89" s="6" t="n">
        <x:v>40</x:v>
      </x:c>
      <x:c r="E89" s="7" t="str">
        <x:v>ИКС - автор знаменитых полотен «Эдемский сад с грехопадением человека», «Воздвижение креста» и «Венера и Адонис». Другой ИКС провел 19 сезонов в «Формуле-1», одержал Tl побед и 68 раз поднимался на подиум. Назовите ИКС.</x:v>
      </x:c>
      <x:c r="F89" s="7" t="str">
        <x:v>Не опубликован в посте</x:v>
      </x:c>
      <x:c r="G89" s="7" t="str">
        <x:v>Не размечено</x:v>
      </x:c>
      <x:c r="H89" s="7" t="str">
        <x:v>Спорт / смешанное</x:v>
      </x:c>
      <x:c r="I89" s="7" t="str">
        <x:v>OCR из карточки; требуется редакторская проверка</x:v>
      </x:c>
      <x:c r="J89" s="6"/>
      <x:c r="K89" s="6" t="str">
        <x:v>Не оценена</x:v>
      </x:c>
      <x:c r="L89" s="7" t="str">
        <x:v>telegram_archive/media/post_0349_photo_01.jpg</x:v>
      </x:c>
      <x:c r="M89" s="7"/>
      <x:c r="N89" s="7" t="str">
        <x:v>https://t.me/simple_quiz/349</x:v>
      </x:c>
    </x:row>
    <x:row r="90">
      <x:c r="A90" s="6" t="n">
        <x:v>89</x:v>
      </x:c>
      <x:c r="B90" s="6" t="str">
        <x:v>TG</x:v>
      </x:c>
      <x:c r="C90" s="6" t="str">
        <x:v>Telegram-архив</x:v>
      </x:c>
      <x:c r="D90" s="6" t="n">
        <x:v>41</x:v>
      </x:c>
      <x:c r="E90" s="7" t="str">
        <x:v>Когда хоккеиста Максима Афиногенова спросили про АЛЬФЫ, которые летят на лед во время матчей его команды, он ответил, что подобное встречается и в НХЛ, и привел пример с традицией в «Детройте» кидать на лед осьминога. Правда, если осьминог для «Ред Уингс» — победный символ, то АЛЬФА - оскорбление конкретной команды. Про что спросили после матча Макса Афиногенова?</x:v>
      </x:c>
      <x:c r="F90" s="7" t="str">
        <x:v>Сосиски</x:v>
      </x:c>
      <x:c r="G90" s="7" t="str">
        <x:v>Не размечено</x:v>
      </x:c>
      <x:c r="H90" s="7" t="str">
        <x:v>Спорт / смешанное</x:v>
      </x:c>
      <x:c r="I90" s="7" t="str">
        <x:v>Ответ подтверждён реакцией канала: https://t.me/simple_quiz/355?comment=906</x:v>
      </x:c>
      <x:c r="J90" s="6"/>
      <x:c r="K90" s="6" t="str">
        <x:v>Не оценена</x:v>
      </x:c>
      <x:c r="L90" s="7" t="str">
        <x:v>telegram_archive/media/post_0355_photo_01.jpg</x:v>
      </x:c>
      <x:c r="M90" s="7"/>
      <x:c r="N90" s="7" t="str">
        <x:v>https://t.me/simple_quiz/355</x:v>
      </x:c>
    </x:row>
    <x:row r="91">
      <x:c r="A91" s="6" t="n">
        <x:v>90</x:v>
      </x:c>
      <x:c r="B91" s="6" t="str">
        <x:v>TG</x:v>
      </x:c>
      <x:c r="C91" s="6" t="str">
        <x:v>Telegram-архив</x:v>
      </x:c>
      <x:c r="D91" s="6" t="n">
        <x:v>42</x:v>
      </x:c>
      <x:c r="E91" s="7" t="str">
        <x:v>Несколько лет назад в интернете стало вирусным изображение одного ИКСа и Криштиану Роналду. Глядя на него, трудно поверить, что «ОМЕГА» ИКСА случилось позже - примерно через 308 дней после Роналду и через 474. года после «ОМЕГИ ИКСА» Микеланджело. Назовите, что такое ОМЕГА ИКСА.</x:v>
      </x:c>
      <x:c r="F91" s="7" t="str">
        <x:v>«Сотворение Адама»</x:v>
      </x:c>
      <x:c r="G91" s="7" t="str">
        <x:v>Не размечено</x:v>
      </x:c>
      <x:c r="H91" s="7" t="str">
        <x:v>Спорт / смешанное</x:v>
      </x:c>
      <x:c r="I91" s="7" t="str">
        <x:v>Ответ подтверждён реакцией канала: https://t.me/simple_quiz/356?comment=913</x:v>
      </x:c>
      <x:c r="J91" s="6"/>
      <x:c r="K91" s="6" t="str">
        <x:v>Не оценена</x:v>
      </x:c>
      <x:c r="L91" s="7" t="str">
        <x:v>telegram_archive/media/post_0356_photo_01.jpg</x:v>
      </x:c>
      <x:c r="M91" s="7"/>
      <x:c r="N91" s="7" t="str">
        <x:v>https://t.me/simple_quiz/356</x:v>
      </x:c>
    </x:row>
    <x:row r="92">
      <x:c r="A92" s="6" t="n">
        <x:v>91</x:v>
      </x:c>
      <x:c r="B92" s="6" t="str">
        <x:v>TG</x:v>
      </x:c>
      <x:c r="C92" s="6" t="str">
        <x:v>Telegram-архив</x:v>
      </x:c>
      <x:c r="D92" s="6" t="n">
        <x:v>43</x:v>
      </x:c>
      <x:c r="E92" s="7" t="str">
        <x:v>Основное время семи матчей ЧМ-2018 закончилось со счетом, который можно записать, используя лишь имя одного из древних богов. Один из этих семи матчей, уверен, смотрел практически каждый из вас. Напишите счет этих матчей, используя лишь имя бога, но столько раз, сколько посчитаете нужным.</x:v>
      </x:c>
      <x:c r="F92" s="7" t="str">
        <x:v>1:1</x:v>
      </x:c>
      <x:c r="G92" s="7" t="str">
        <x:v>Не размечено</x:v>
      </x:c>
      <x:c r="H92" s="7" t="str">
        <x:v>Спорт / смешанное</x:v>
      </x:c>
      <x:c r="I92" s="7" t="str">
        <x:v>Ответ подтверждён реакцией канала: https://t.me/simple_quiz/367?comment=931</x:v>
      </x:c>
      <x:c r="J92" s="6"/>
      <x:c r="K92" s="6" t="str">
        <x:v>Не оценена</x:v>
      </x:c>
      <x:c r="L92" s="7" t="str">
        <x:v>telegram_archive/media/post_0367_photo_01.jpg</x:v>
      </x:c>
      <x:c r="M92" s="7"/>
      <x:c r="N92" s="7" t="str">
        <x:v>https://t.me/simple_quiz/367</x:v>
      </x:c>
    </x:row>
    <x:row r="93">
      <x:c r="A93" s="6" t="n">
        <x:v>92</x:v>
      </x:c>
      <x:c r="B93" s="6" t="str">
        <x:v>TG</x:v>
      </x:c>
      <x:c r="C93" s="6" t="str">
        <x:v>Telegram-архив</x:v>
      </x:c>
      <x:c r="D93" s="6" t="n">
        <x:v>44</x:v>
      </x:c>
      <x:c r="E93" s="7" t="str">
        <x:v>С середины 2010-х несложно получить ретвит от одного из комментаторов Eurosport: достаточно сфотографировать автомобиль с этим трехзначным номером и отметить одного из комментаторов. Он почти всегда ретвитит фото с подобными номерами. Назовите трехзначное число, о котором мы рассказали в предыдущем абзаце.</x:v>
      </x:c>
      <x:c r="F93" s="7" t="str">
        <x:v>147</x:v>
      </x:c>
      <x:c r="G93" s="7" t="str">
        <x:v>Не размечено</x:v>
      </x:c>
      <x:c r="H93" s="7" t="str">
        <x:v>Спорт / смешанное</x:v>
      </x:c>
      <x:c r="I93" s="7" t="str">
        <x:v>Ответ подтверждён реакцией канала: https://t.me/simple_quiz/371?comment=966</x:v>
      </x:c>
      <x:c r="J93" s="6"/>
      <x:c r="K93" s="6" t="str">
        <x:v>Не оценена</x:v>
      </x:c>
      <x:c r="L93" s="7" t="str">
        <x:v>telegram_archive/media/post_0371_photo_01.jpg</x:v>
      </x:c>
      <x:c r="M93" s="7"/>
      <x:c r="N93" s="7" t="str">
        <x:v>https://t.me/simple_quiz/371</x:v>
      </x:c>
    </x:row>
    <x:row r="94">
      <x:c r="A94" s="6" t="n">
        <x:v>93</x:v>
      </x:c>
      <x:c r="B94" s="6" t="str">
        <x:v>TG</x:v>
      </x:c>
      <x:c r="C94" s="6" t="str">
        <x:v>Telegram-архив</x:v>
      </x:c>
      <x:c r="D94" s="6" t="n">
        <x:v>45</x:v>
      </x:c>
      <x:c r="E94" s="7" t="str">
        <x:v>На «Википедии» можно найти свыше 30 различных ИКСОВ: это, например, и город в Калифорнии, и столица острова Тенерифе, и крупнейший город Боливии. Но мы помним другого ИКСА: того, что играл за «Баварию», «Манчестер Сити», «Блэкберн», «Малагу» и «Бетис». А еще - за мексиканский клуб, название которого ну очень ему подходит. Назовите ИКС.</x:v>
      </x:c>
      <x:c r="F94" s="7" t="str">
        <x:v>Санта-Крус</x:v>
      </x:c>
      <x:c r="G94" s="7" t="str">
        <x:v>Не размечено</x:v>
      </x:c>
      <x:c r="H94" s="7" t="str">
        <x:v>Спорт / смешанное</x:v>
      </x:c>
      <x:c r="I94" s="7" t="str">
        <x:v>Ответ подтверждён реакцией канала: https://t.me/simple_quiz/374?comment=976</x:v>
      </x:c>
      <x:c r="J94" s="6"/>
      <x:c r="K94" s="6" t="str">
        <x:v>Не оценена</x:v>
      </x:c>
      <x:c r="L94" s="7" t="str">
        <x:v>telegram_archive/media/post_0374_photo_01.jpg</x:v>
      </x:c>
      <x:c r="M94" s="7"/>
      <x:c r="N94" s="7" t="str">
        <x:v>https://t.me/simple_quiz/374</x:v>
      </x:c>
    </x:row>
    <x:row r="95">
      <x:c r="A95" s="6" t="n">
        <x:v>94</x:v>
      </x:c>
      <x:c r="B95" s="6" t="str">
        <x:v>TG</x:v>
      </x:c>
      <x:c r="C95" s="6" t="str">
        <x:v>Telegram-архив</x:v>
      </x:c>
      <x:c r="D95" s="6" t="n">
        <x:v>46</x:v>
      </x:c>
      <x:c r="E95" s="7" t="str">
        <x:v>Баскетболист Джей Ти ИКС, выступавший за «Шарлотт», «Кливленд» и «Вашингтон», явно ошибся с видом спорта: ни в одном из сезонов он не набирал больше 4 очков в среднем за игру, да и матчей в плей-офф НБА за 5 сезонов у него ноль. Судя по фамилии, которую мы заменили, ему явно больше подошла бы одна из дисциплин в легкой атлетике: бог, имя которого совпадает с фамилией Джей Ти, плотно с ней ассоциируется. О какой дисциплине речь?</x:v>
      </x:c>
      <x:c r="F95" s="7" t="str">
        <x:v>Не опубликован в посте</x:v>
      </x:c>
      <x:c r="G95" s="7" t="str">
        <x:v>Не размечено</x:v>
      </x:c>
      <x:c r="H95" s="7" t="str">
        <x:v>Спорт / смешанное</x:v>
      </x:c>
      <x:c r="I95" s="7" t="str">
        <x:v>OCR из карточки; требуется редакторская проверка</x:v>
      </x:c>
      <x:c r="J95" s="6"/>
      <x:c r="K95" s="6" t="str">
        <x:v>Не оценена</x:v>
      </x:c>
      <x:c r="L95" s="7" t="str">
        <x:v>telegram_archive/media/post_0387_photo_01.jpg</x:v>
      </x:c>
      <x:c r="M95" s="7"/>
      <x:c r="N95" s="7" t="str">
        <x:v>https://t.me/simple_quiz/387</x:v>
      </x:c>
    </x:row>
    <x:row r="96">
      <x:c r="A96" s="6" t="n">
        <x:v>95</x:v>
      </x:c>
      <x:c r="B96" s="6" t="str">
        <x:v>TG</x:v>
      </x:c>
      <x:c r="C96" s="6" t="str">
        <x:v>Telegram-архив</x:v>
      </x:c>
      <x:c r="D96" s="6" t="n">
        <x:v>47</x:v>
      </x:c>
      <x:c r="E96" s="7" t="str">
        <x:v>ИКС - экс-футболист «Зенита», который, помимо России, поиграл в Германии, Греции, Турции, Венгрии и даже Австралии. ИКСЫ - картина Винсента ван Гога 1887 года. Кстати, в период карьеры в «Зените» у ИКСА не было на спине ни единицы, ни восьмерки, ни семерки. Назовите ИКС.</x:v>
      </x:c>
      <x:c r="F96" s="7" t="str">
        <x:v>Мак</x:v>
      </x:c>
      <x:c r="G96" s="7" t="str">
        <x:v>Не размечено</x:v>
      </x:c>
      <x:c r="H96" s="7" t="str">
        <x:v>Спорт / смешанное</x:v>
      </x:c>
      <x:c r="I96" s="7" t="str">
        <x:v>Ответ подтверждён реакцией канала: https://t.me/simple_quiz/388?comment=1007</x:v>
      </x:c>
      <x:c r="J96" s="6"/>
      <x:c r="K96" s="6" t="str">
        <x:v>Не оценена</x:v>
      </x:c>
      <x:c r="L96" s="7" t="str">
        <x:v>telegram_archive/media/post_0388_photo_01.jpg</x:v>
      </x:c>
      <x:c r="M96" s="7"/>
      <x:c r="N96" s="7" t="str">
        <x:v>https://t.me/simple_quiz/388</x:v>
      </x:c>
    </x:row>
    <x:row r="97">
      <x:c r="A97" s="6" t="n">
        <x:v>96</x:v>
      </x:c>
      <x:c r="B97" s="6" t="str">
        <x:v>TG</x:v>
      </x:c>
      <x:c r="C97" s="6" t="str">
        <x:v>Telegram-архив</x:v>
      </x:c>
      <x:c r="D97" s="6" t="n">
        <x:v>48</x:v>
      </x:c>
      <x:c r="E97" s="7" t="str">
        <x:v>Один ИКС изначально был не ИКСОМ, а Чейни. Другой ИКС раньше был не ИКСОМ, а Августой. Один ИКС периодически зарабатывал деньги боксом. Другой ИКС не раз принимал крупные боксерские поединки. Там дрались и Поветкин, и Кличко. Назовите ИКС.</x:v>
      </x:c>
      <x:c r="F97" s="7" t="str">
        <x:v>Лондон</x:v>
      </x:c>
      <x:c r="G97" s="7" t="str">
        <x:v>Не размечено</x:v>
      </x:c>
      <x:c r="H97" s="7" t="str">
        <x:v>Спорт / смешанное</x:v>
      </x:c>
      <x:c r="I97" s="7" t="str">
        <x:v>Ответ подтверждён реакцией канала: https://t.me/simple_quiz/392?comment=1025</x:v>
      </x:c>
      <x:c r="J97" s="6"/>
      <x:c r="K97" s="6" t="str">
        <x:v>Не оценена</x:v>
      </x:c>
      <x:c r="L97" s="7" t="str">
        <x:v>telegram_archive/media/post_0392_photo_01.jpg</x:v>
      </x:c>
      <x:c r="M97" s="7"/>
      <x:c r="N97" s="7" t="str">
        <x:v>https://t.me/simple_quiz/392</x:v>
      </x:c>
    </x:row>
    <x:row r="98">
      <x:c r="A98" s="6" t="n">
        <x:v>97</x:v>
      </x:c>
      <x:c r="B98" s="6" t="str">
        <x:v>TG</x:v>
      </x:c>
      <x:c r="C98" s="6" t="str">
        <x:v>Telegram-архив</x:v>
      </x:c>
      <x:c r="D98" s="6" t="n">
        <x:v>49</x:v>
      </x:c>
      <x:c r="E98" s="7" t="str">
        <x:v>Всю карьеру ОН выступал на резине бренда Light Year. В числе его спонсоров - Vitoline, Clutch+Aid, Mood Springs, Octane Gain, NitroAde, Easy Idle. Логотипы этих брендов можно увидеть Ha HEM. Назовите ЕГО двумя словами.</x:v>
      </x:c>
      <x:c r="F98" s="7" t="str">
        <x:v>Молния Маккуин</x:v>
      </x:c>
      <x:c r="G98" s="7" t="str">
        <x:v>Не размечено</x:v>
      </x:c>
      <x:c r="H98" s="7" t="str">
        <x:v>Спорт / смешанное</x:v>
      </x:c>
      <x:c r="I98" s="7" t="str">
        <x:v>Ответ подтверждён реакцией канала: https://t.me/simple_quiz/399?comment=1043</x:v>
      </x:c>
      <x:c r="J98" s="6"/>
      <x:c r="K98" s="6" t="str">
        <x:v>Не оценена</x:v>
      </x:c>
      <x:c r="L98" s="7" t="str">
        <x:v>telegram_archive/media/post_0399_photo_01.jpg</x:v>
      </x:c>
      <x:c r="M98" s="7"/>
      <x:c r="N98" s="7" t="str">
        <x:v>https://t.me/simple_quiz/399</x:v>
      </x:c>
    </x:row>
    <x:row r="99">
      <x:c r="A99" s="6" t="n">
        <x:v>98</x:v>
      </x:c>
      <x:c r="B99" s="6" t="str">
        <x:v>TG</x:v>
      </x:c>
      <x:c r="C99" s="6" t="str">
        <x:v>Telegram-архив</x:v>
      </x:c>
      <x:c r="D99" s="6" t="n">
        <x:v>50</x:v>
      </x:c>
      <x:c r="E99" s="7" t="str">
        <x:v>Аккаунт nbaresdev выяснил, что игроки НБА начинают играть хуже после того, как обзаводятся ИМИ. В качестве доказательства они привели статистику Леброна Джеймса, Кевина Дюранта, Дреймонда Грина, Пола Джорджаи Джей Джея Редика. У всех них упали цифры по сезону после появления ИХ в их жизни. По одной из версий, первый ОН появился в 2004 году. В том же году это слово впервые использовал журналист Бен Хаммерсли. Кого мы зашифровали под НИМ?</x:v>
      </x:c>
      <x:c r="F99" s="7" t="str">
        <x:v>Подкаст</x:v>
      </x:c>
      <x:c r="G99" s="7" t="str">
        <x:v>Не размечено</x:v>
      </x:c>
      <x:c r="H99" s="7" t="str">
        <x:v>Спорт / смешанное</x:v>
      </x:c>
      <x:c r="I99" s="7" t="str">
        <x:v>Ответ подтверждён реакцией канала: https://t.me/simple_quiz/415?comment=1083</x:v>
      </x:c>
      <x:c r="J99" s="6"/>
      <x:c r="K99" s="6" t="str">
        <x:v>Не оценена</x:v>
      </x:c>
      <x:c r="L99" s="7" t="str">
        <x:v>telegram_archive/media/post_0415_photo_01.jpg</x:v>
      </x:c>
      <x:c r="M99" s="7"/>
      <x:c r="N99" s="7" t="str">
        <x:v>https://t.me/simple_quiz/415</x:v>
      </x:c>
    </x:row>
    <x:row r="100">
      <x:c r="A100" s="6" t="n">
        <x:v>99</x:v>
      </x:c>
      <x:c r="B100" s="6" t="str">
        <x:v>TG</x:v>
      </x:c>
      <x:c r="C100" s="6" t="str">
        <x:v>Telegram-архив</x:v>
      </x:c>
      <x:c r="D100" s="6" t="n">
        <x:v>51</x:v>
      </x:c>
      <x:c r="E100" s="7" t="str">
        <x:v>Американская актриса Оливия Коберн известна многим из вас под другой фамилией. Одна из самых популярных сериальных ролей Оливии - ИКС. Догадаться, что мы спрятали под ИКСОМ, вам помогут Микаэль Баллак, Алессандро Неста и Майкон. Назовите ИКС.</x:v>
      </x:c>
      <x:c r="F100" s="7" t="str">
        <x:v>Тринадцатая</x:v>
      </x:c>
      <x:c r="G100" s="7" t="str">
        <x:v>Не размечено</x:v>
      </x:c>
      <x:c r="H100" s="7" t="str">
        <x:v>Спорт / смешанное</x:v>
      </x:c>
      <x:c r="I100" s="7" t="str">
        <x:v>Ответ подтверждён реакцией канала: https://t.me/simple_quiz/417?comment=1098</x:v>
      </x:c>
      <x:c r="J100" s="6"/>
      <x:c r="K100" s="6" t="str">
        <x:v>Не оценена</x:v>
      </x:c>
      <x:c r="L100" s="7" t="str">
        <x:v>telegram_archive/media/post_0417_photo_01.jpg</x:v>
      </x:c>
      <x:c r="M100" s="7"/>
      <x:c r="N100" s="7" t="str">
        <x:v>https://t.me/simple_quiz/417</x:v>
      </x:c>
    </x:row>
    <x:row r="101">
      <x:c r="A101" s="6" t="n">
        <x:v>100</x:v>
      </x:c>
      <x:c r="B101" s="6" t="str">
        <x:v>TG</x:v>
      </x:c>
      <x:c r="C101" s="6" t="str">
        <x:v>Telegram-архив</x:v>
      </x:c>
      <x:c r="D101" s="6" t="n">
        <x:v>52</x:v>
      </x:c>
      <x:c r="E101" s="7" t="str">
        <x:v>Бенджамин Франклин говорил, что не наблюдать за ИКСАМИ - значит, оставлять им открытым свой кошелек. Если к ИКСАМ добавить согласную букву, получится название футбольного клуба, который в августе 2005 года приезжал в Москву на матч с «Локомотивом». Назовите этот клуб.</x:v>
      </x:c>
      <x:c r="F101" s="7" t="str">
        <x:v>Работнички</x:v>
      </x:c>
      <x:c r="G101" s="7" t="str">
        <x:v>Не размечено</x:v>
      </x:c>
      <x:c r="H101" s="7" t="str">
        <x:v>Спорт / смешанное</x:v>
      </x:c>
      <x:c r="I101" s="7" t="str">
        <x:v>Ответ подтверждён реакцией канала: https://t.me/simple_quiz/418?comment=1103</x:v>
      </x:c>
      <x:c r="J101" s="6"/>
      <x:c r="K101" s="6" t="str">
        <x:v>Не оценена</x:v>
      </x:c>
      <x:c r="L101" s="7" t="str">
        <x:v>telegram_archive/media/post_0418_photo_01.jpg</x:v>
      </x:c>
      <x:c r="M101" s="7"/>
      <x:c r="N101" s="7" t="str">
        <x:v>https://t.me/simple_quiz/418</x:v>
      </x:c>
    </x:row>
    <x:row r="102">
      <x:c r="A102" s="6" t="n">
        <x:v>101</x:v>
      </x:c>
      <x:c r="B102" s="6" t="str">
        <x:v>TG</x:v>
      </x:c>
      <x:c r="C102" s="6" t="str">
        <x:v>Telegram-архив</x:v>
      </x:c>
      <x:c r="D102" s="6" t="n">
        <x:v>53</x:v>
      </x:c>
      <x:c r="E102" s="7" t="str">
        <x:v>В 1978-1979 годах логотип «Нью-Йорк Никс» был в форме НЕГО. Вот некоторые ИХ представители: Fuji, Empire, Jonathan, Arkansas Black, Discovery. О чем речь?</x:v>
      </x:c>
      <x:c r="F102" s="7" t="str">
        <x:v>Яблоко</x:v>
      </x:c>
      <x:c r="G102" s="7" t="str">
        <x:v>Не размечено</x:v>
      </x:c>
      <x:c r="H102" s="7" t="str">
        <x:v>Спорт / смешанное</x:v>
      </x:c>
      <x:c r="I102" s="7" t="str">
        <x:v>Ответ подтверждён реакцией канала: https://t.me/simple_quiz/421?comment=1112</x:v>
      </x:c>
      <x:c r="J102" s="6"/>
      <x:c r="K102" s="6" t="str">
        <x:v>Не оценена</x:v>
      </x:c>
      <x:c r="L102" s="7" t="str">
        <x:v>telegram_archive/media/post_0421_photo_01.jpg</x:v>
      </x:c>
      <x:c r="M102" s="7"/>
      <x:c r="N102" s="7" t="str">
        <x:v>https://t.me/simple_quiz/421</x:v>
      </x:c>
    </x:row>
    <x:row r="103">
      <x:c r="A103" s="6" t="n">
        <x:v>102</x:v>
      </x:c>
      <x:c r="B103" s="6" t="str">
        <x:v>TG</x:v>
      </x:c>
      <x:c r="C103" s="6" t="str">
        <x:v>Telegram-архив</x:v>
      </x:c>
      <x:c r="D103" s="6" t="n">
        <x:v>54</x:v>
      </x:c>
      <x:c r="E103" s="7" t="str">
        <x:v>В ноябре 2022 года в соревновательный Counter-Strike добавили ИКС. Правда, уже через пару лет его убрали из про-сцены. Вы могли слышать про ИКСА на уроках истории. Если бы вы назвали ИКСА шакалом, это в какой-то степени было правдивым утверждением. В одной из древних культур он считался изобретателем бальзамирования. Назовите ИКС.</x:v>
      </x:c>
      <x:c r="F103" s="7" t="str">
        <x:v>Анубис</x:v>
      </x:c>
      <x:c r="G103" s="7" t="str">
        <x:v>Не размечено</x:v>
      </x:c>
      <x:c r="H103" s="7" t="str">
        <x:v>Спорт / смешанное</x:v>
      </x:c>
      <x:c r="I103" s="7" t="str">
        <x:v>Ответ подтверждён реакцией канала: https://t.me/simple_quiz/431?comment=1130</x:v>
      </x:c>
      <x:c r="J103" s="6"/>
      <x:c r="K103" s="6" t="str">
        <x:v>Не оценена</x:v>
      </x:c>
      <x:c r="L103" s="7" t="str">
        <x:v>telegram_archive/media/post_0431_photo_01.jpg</x:v>
      </x:c>
      <x:c r="M103" s="7"/>
      <x:c r="N103" s="7" t="str">
        <x:v>https://t.me/simple_quiz/431</x:v>
      </x:c>
    </x:row>
    <x:row r="104">
      <x:c r="A104" s="6" t="n">
        <x:v>103</x:v>
      </x:c>
      <x:c r="B104" s="6" t="str">
        <x:v>TG</x:v>
      </x:c>
      <x:c r="C104" s="6" t="str">
        <x:v>Telegram-архив</x:v>
      </x:c>
      <x:c r="D104" s="6" t="n">
        <x:v>55</x:v>
      </x:c>
      <x:c r="E104" s="7" t="str">
        <x:v>Если бы этот ролик снимали в 2025 году, то мы бы не удивились, если бы его лицом стала Юлия Романова, Полина Марченко, Юлия Чиркова или Алина Еременко, но в начале 2000-х в этой рекламе снялся будущий двукратный олимпийский чемпион. А какой слоган был у того рекламного ролика?</x:v>
      </x:c>
      <x:c r="F104" s="7" t="str">
        <x:v>Не опубликован в посте</x:v>
      </x:c>
      <x:c r="G104" s="7" t="str">
        <x:v>Не размечено</x:v>
      </x:c>
      <x:c r="H104" s="7" t="str">
        <x:v>Спорт / смешанное</x:v>
      </x:c>
      <x:c r="I104" s="7" t="str">
        <x:v>OCR из карточки; требуется редакторская проверка</x:v>
      </x:c>
      <x:c r="J104" s="6"/>
      <x:c r="K104" s="6" t="str">
        <x:v>Не оценена</x:v>
      </x:c>
      <x:c r="L104" s="7" t="str">
        <x:v>telegram_archive/media/post_0434_photo_01.jpg</x:v>
      </x:c>
      <x:c r="M104" s="7"/>
      <x:c r="N104" s="7" t="str">
        <x:v>https://t.me/simple_quiz/434</x:v>
      </x:c>
    </x:row>
    <x:row r="105">
      <x:c r="A105" s="6" t="n">
        <x:v>104</x:v>
      </x:c>
      <x:c r="B105" s="6" t="str">
        <x:v>TG</x:v>
      </x:c>
      <x:c r="C105" s="6" t="str">
        <x:v>Telegram-архив</x:v>
      </x:c>
      <x:c r="D105" s="6" t="n">
        <x:v>56</x:v>
      </x:c>
      <x:c r="E105" s="7" t="str">
        <x:v>К концу 2024 года в их списке есть и ЦСКА, и «Локомотив», и «Спартак», и «Динамо», иеще 267 других. «Торпедо» в их списке, кстати, нет. О чем речь?</x:v>
      </x:c>
      <x:c r="F105" s="7" t="str">
        <x:v>Станции Московского метрополитена</x:v>
      </x:c>
      <x:c r="G105" s="7" t="str">
        <x:v>Не размечено</x:v>
      </x:c>
      <x:c r="H105" s="7" t="str">
        <x:v>Спорт / смешанное</x:v>
      </x:c>
      <x:c r="I105" s="7" t="str">
        <x:v>Ответ подтверждён реакцией канала: https://t.me/simple_quiz/437?comment=1156</x:v>
      </x:c>
      <x:c r="J105" s="6"/>
      <x:c r="K105" s="6" t="str">
        <x:v>Не оценена</x:v>
      </x:c>
      <x:c r="L105" s="7" t="str">
        <x:v>telegram_archive/media/post_0437_photo_01.jpg</x:v>
      </x:c>
      <x:c r="M105" s="7"/>
      <x:c r="N105" s="7" t="str">
        <x:v>https://t.me/simple_quiz/437</x:v>
      </x:c>
    </x:row>
    <x:row r="106">
      <x:c r="A106" s="6" t="n">
        <x:v>105</x:v>
      </x:c>
      <x:c r="B106" s="6" t="str">
        <x:v>TG</x:v>
      </x:c>
      <x:c r="C106" s="6" t="str">
        <x:v>Telegram-архив</x:v>
      </x:c>
      <x:c r="D106" s="6" t="n">
        <x:v>57</x:v>
      </x:c>
      <x:c r="E106" s="7" t="str">
        <x:v>В ребрендинге 2020 года одной национальной команды на эмблеме объединили четырех мифических хранителей — быка, орла, дракона и великана; новый знак заменил прежний щит с аббревиатурой федерации и флагом. Согласно пресс-релизу, эти фигуры - традиционные защитники страны и мотив, связанный с государственной символикой. Назовите сборную, которая впервые добралась до ЧМ и ЧЕ лишь в ХХ! веке.</x:v>
      </x:c>
      <x:c r="F106" s="7" t="str">
        <x:v>Исландия</x:v>
      </x:c>
      <x:c r="G106" s="7" t="str">
        <x:v>Не размечено</x:v>
      </x:c>
      <x:c r="H106" s="7" t="str">
        <x:v>Спорт / смешанное</x:v>
      </x:c>
      <x:c r="I106" s="7" t="str">
        <x:v>Ответ подтверждён реакцией канала: https://t.me/simple_quiz/438?comment=1158</x:v>
      </x:c>
      <x:c r="J106" s="6"/>
      <x:c r="K106" s="6" t="str">
        <x:v>Не оценена</x:v>
      </x:c>
      <x:c r="L106" s="7" t="str">
        <x:v>telegram_archive/media/post_0438_photo_01.jpg</x:v>
      </x:c>
      <x:c r="M106" s="7"/>
      <x:c r="N106" s="7" t="str">
        <x:v>https://t.me/simple_quiz/438</x:v>
      </x:c>
    </x:row>
    <x:row r="107">
      <x:c r="A107" s="6" t="n">
        <x:v>106</x:v>
      </x:c>
      <x:c r="B107" s="6" t="str">
        <x:v>TG</x:v>
      </x:c>
      <x:c r="C107" s="6" t="str">
        <x:v>Telegram-архив</x:v>
      </x:c>
      <x:c r="D107" s="6" t="n">
        <x:v>58</x:v>
      </x:c>
      <x:c r="E107" s="7" t="str">
        <x:v>Шахматы 1922 года по модели Натальи Данько являются заметным образцом агитационного фарфора. В целях пропаганды скульптор придумала новые образы для каждой фигуры и заменила один из их традиционных цветов. Напишите пару цветов в версии шахмат Натальи Данько.</x:v>
      </x:c>
      <x:c r="F107" s="7" t="str">
        <x:v>Красные и белые</x:v>
      </x:c>
      <x:c r="G107" s="7" t="str">
        <x:v>Не размечено</x:v>
      </x:c>
      <x:c r="H107" s="7" t="str">
        <x:v>Спорт / смешанное</x:v>
      </x:c>
      <x:c r="I107" s="7" t="str">
        <x:v>Ответ подтверждён реакцией канала: https://t.me/simple_quiz/441?comment=1176</x:v>
      </x:c>
      <x:c r="J107" s="6"/>
      <x:c r="K107" s="6" t="str">
        <x:v>Не оценена</x:v>
      </x:c>
      <x:c r="L107" s="7" t="str">
        <x:v>telegram_archive/media/post_0441_photo_01.jpg</x:v>
      </x:c>
      <x:c r="M107" s="7"/>
      <x:c r="N107" s="7" t="str">
        <x:v>https://t.me/simple_quiz/441</x:v>
      </x:c>
    </x:row>
    <x:row r="108">
      <x:c r="A108" s="6" t="n">
        <x:v>107</x:v>
      </x:c>
      <x:c r="B108" s="6" t="str">
        <x:v>TG</x:v>
      </x:c>
      <x:c r="C108" s="6" t="str">
        <x:v>Telegram-архив</x:v>
      </x:c>
      <x:c r="D108" s="6" t="n">
        <x:v>59</x:v>
      </x:c>
      <x:c r="E108" s="7" t="str">
        <x:v>Привет! Ты в курсе про бесплатный «Симпл Квиз» для новых команд? 14 января, 20:00 «Басби», Никитский бульвар, 12 Запись - у @iamkirian в личке в | Cum | KBU</x:v>
      </x:c>
      <x:c r="F108" s="7" t="str">
        <x:v>Не опубликован в посте</x:v>
      </x:c>
      <x:c r="G108" s="7" t="str">
        <x:v>Не размечено</x:v>
      </x:c>
      <x:c r="H108" s="7" t="str">
        <x:v>Спорт / смешанное</x:v>
      </x:c>
      <x:c r="I108" s="7" t="str">
        <x:v>OCR из карточки; требуется редакторская проверка</x:v>
      </x:c>
      <x:c r="J108" s="6"/>
      <x:c r="K108" s="6" t="str">
        <x:v>Не оценена</x:v>
      </x:c>
      <x:c r="L108" s="7" t="str">
        <x:v>telegram_archive/media/post_0445_photo_01.jpg</x:v>
      </x:c>
      <x:c r="M108" s="7"/>
      <x:c r="N108" s="7" t="str">
        <x:v>https://t.me/simple_quiz/445</x:v>
      </x:c>
    </x:row>
    <x:row r="109">
      <x:c r="A109" s="6" t="n">
        <x:v>108</x:v>
      </x:c>
      <x:c r="B109" s="6" t="str">
        <x:v>TG</x:v>
      </x:c>
      <x:c r="C109" s="6" t="str">
        <x:v>Telegram-архив</x:v>
      </x:c>
      <x:c r="D109" s="6" t="n">
        <x:v>60</x:v>
      </x:c>
      <x:c r="E109" s="7" t="str">
        <x:v>Около 10 лет назад у очень многих сильных игроков в фифу была определенная особенность в никнейме, поэтому их называли ИКСАМИ. Позднее термин трансформировался, и ИКСАМИ стали называть всех сильных игроков вне зависимости от того, какой у них никнейм. ИКСОМ можно назвать, например, Мохамеда Салаха, Рияда Мареза или Ашрафа Хакими. Назовите ИКС.</x:v>
      </x:c>
      <x:c r="F109" s="7" t="str">
        <x:v>Араб</x:v>
      </x:c>
      <x:c r="G109" s="7" t="str">
        <x:v>Не размечено</x:v>
      </x:c>
      <x:c r="H109" s="7" t="str">
        <x:v>Спорт / смешанное</x:v>
      </x:c>
      <x:c r="I109" s="7" t="str">
        <x:v>Ответ подтверждён реакцией канала: https://t.me/simple_quiz/450?comment=1196</x:v>
      </x:c>
      <x:c r="J109" s="6"/>
      <x:c r="K109" s="6" t="str">
        <x:v>Не оценена</x:v>
      </x:c>
      <x:c r="L109" s="7" t="str">
        <x:v>telegram_archive/media/post_0450_photo_01.jpg</x:v>
      </x:c>
      <x:c r="M109" s="7"/>
      <x:c r="N109" s="7" t="str">
        <x:v>https://t.me/simple_quiz/450</x:v>
      </x:c>
    </x:row>
    <x:row r="110">
      <x:c r="A110" s="6" t="n">
        <x:v>109</x:v>
      </x:c>
      <x:c r="B110" s="6" t="str">
        <x:v>TG</x:v>
      </x:c>
      <x:c r="C110" s="6" t="str">
        <x:v>Telegram-архив</x:v>
      </x:c>
      <x:c r="D110" s="6" t="n">
        <x:v>61</x:v>
      </x:c>
      <x:c r="E110" s="7" t="str">
        <x:v>Привет! Ты в курсе про бесплатный «Симпл Квиз» для новых команд? 14 января, 20:00 «Басби», Никитский бульвар, 12 Запись - у @iamkirian в личке в | Cum | KBU</x:v>
      </x:c>
      <x:c r="F110" s="7" t="str">
        <x:v>Не опубликован в посте</x:v>
      </x:c>
      <x:c r="G110" s="7" t="str">
        <x:v>Не размечено</x:v>
      </x:c>
      <x:c r="H110" s="7" t="str">
        <x:v>Спорт / смешанное</x:v>
      </x:c>
      <x:c r="I110" s="7" t="str">
        <x:v>OCR из карточки; требуется редакторская проверка</x:v>
      </x:c>
      <x:c r="J110" s="6"/>
      <x:c r="K110" s="6" t="str">
        <x:v>Не оценена</x:v>
      </x:c>
      <x:c r="L110" s="7" t="str">
        <x:v>telegram_archive/media/post_0451_photo_01.jpg</x:v>
      </x:c>
      <x:c r="M110" s="7"/>
      <x:c r="N110" s="7" t="str">
        <x:v>https://t.me/simple_quiz/451</x:v>
      </x:c>
    </x:row>
    <x:row r="111">
      <x:c r="A111" s="6" t="n">
        <x:v>110</x:v>
      </x:c>
      <x:c r="B111" s="6" t="str">
        <x:v>TG</x:v>
      </x:c>
      <x:c r="C111" s="6" t="str">
        <x:v>Telegram-архив</x:v>
      </x:c>
      <x:c r="D111" s="6" t="n">
        <x:v>62</x:v>
      </x:c>
      <x:c r="E111" s="7" t="str">
        <x:v>В саундтреке FIFA 07 была песня этой группы. У этого трека 99 миллионов прослушиваний в Spotify, а у самой популярной песни группы - больше 2 миллиардов. Название этой группы совпадает с фамилиями двух легендарных игроков АПЛ. Один сыграл больше 200 матчей за «Тоттенхэм» и заезжал на сезон в «Ливерпуль». Другой провел больше 300 матчей за «МЮ». Как называется группа?</x:v>
      </x:c>
      <x:c r="F111" s="7" t="str">
        <x:v>Keane</x:v>
      </x:c>
      <x:c r="G111" s="7" t="str">
        <x:v>Не размечено</x:v>
      </x:c>
      <x:c r="H111" s="7" t="str">
        <x:v>Спорт / смешанное</x:v>
      </x:c>
      <x:c r="I111" s="7" t="str">
        <x:v>Ответ подтверждён реакцией канала: https://t.me/simple_quiz/452?comment=1215</x:v>
      </x:c>
      <x:c r="J111" s="6"/>
      <x:c r="K111" s="6" t="str">
        <x:v>Не оценена</x:v>
      </x:c>
      <x:c r="L111" s="7" t="str">
        <x:v>telegram_archive/media/post_0452_photo_01.jpg</x:v>
      </x:c>
      <x:c r="M111" s="7"/>
      <x:c r="N111" s="7" t="str">
        <x:v>https://t.me/simple_quiz/452</x:v>
      </x:c>
    </x:row>
    <x:row r="112">
      <x:c r="A112" s="6" t="n">
        <x:v>111</x:v>
      </x:c>
      <x:c r="B112" s="6" t="str">
        <x:v>TG</x:v>
      </x:c>
      <x:c r="C112" s="6" t="str">
        <x:v>Telegram-архив</x:v>
      </x:c>
      <x:c r="D112" s="6" t="n">
        <x:v>63</x:v>
      </x:c>
      <x:c r="E112" s="7" t="str">
        <x:v>До 2006 года там не фигурировал никто, а после 2022-го там можно было увидеть следующих исполнителей: Drake, The Rolling Stones, Coldplay, Karol С, Rosalia, Travis Scott. В этом списке могли быть Тэйлор Свифт и Эд Ширан, но пока не срослось. Что объединяет вышеуказанных артистов?</x:v>
      </x:c>
      <x:c r="F112" s="7" t="str">
        <x:v>Игровые футболки «Барселоны»</x:v>
      </x:c>
      <x:c r="G112" s="7" t="str">
        <x:v>Не размечено</x:v>
      </x:c>
      <x:c r="H112" s="7" t="str">
        <x:v>Спорт / смешанное</x:v>
      </x:c>
      <x:c r="I112" s="7" t="str">
        <x:v>Ответ подтверждён реакцией канала: https://t.me/simple_quiz/454?comment=1220</x:v>
      </x:c>
      <x:c r="J112" s="6"/>
      <x:c r="K112" s="6" t="str">
        <x:v>Не оценена</x:v>
      </x:c>
      <x:c r="L112" s="7" t="str">
        <x:v>telegram_archive/media/post_0454_photo_01.jpg</x:v>
      </x:c>
      <x:c r="M112" s="7"/>
      <x:c r="N112" s="7" t="str">
        <x:v>https://t.me/simple_quiz/454</x:v>
      </x:c>
    </x:row>
    <x:row r="113">
      <x:c r="A113" s="6" t="n">
        <x:v>112</x:v>
      </x:c>
      <x:c r="B113" s="6" t="str">
        <x:v>TG</x:v>
      </x:c>
      <x:c r="C113" s="6" t="str">
        <x:v>Telegram-архив</x:v>
      </x:c>
      <x:c r="D113" s="6" t="n">
        <x:v>64</x:v>
      </x:c>
      <x:c r="E113" s="7" t="str">
        <x:v>Дженнифер Лоуренс, Орландо Блум, Джереми Реннер, Рассел Кроу, Стивен Амелл - всех этих актеров объединяет некий олимпийский вид спорта. Назовите этот вид спорта.</x:v>
      </x:c>
      <x:c r="F113" s="7" t="str">
        <x:v>Стрельба из лука</x:v>
      </x:c>
      <x:c r="G113" s="7" t="str">
        <x:v>Не размечено</x:v>
      </x:c>
      <x:c r="H113" s="7" t="str">
        <x:v>Спорт / смешанное</x:v>
      </x:c>
      <x:c r="I113" s="7" t="str">
        <x:v>Ответ подтверждён реакцией канала: https://t.me/simple_quiz/467?comment=1262</x:v>
      </x:c>
      <x:c r="J113" s="6"/>
      <x:c r="K113" s="6" t="str">
        <x:v>Не оценена</x:v>
      </x:c>
      <x:c r="L113" s="7" t="str">
        <x:v>telegram_archive/media/post_0467_photo_01.jpg</x:v>
      </x:c>
      <x:c r="M113" s="7"/>
      <x:c r="N113" s="7" t="str">
        <x:v>https://t.me/simple_quiz/467</x:v>
      </x:c>
    </x:row>
    <x:row r="114">
      <x:c r="A114" s="6" t="n">
        <x:v>113</x:v>
      </x:c>
      <x:c r="B114" s="6" t="str">
        <x:v>TG</x:v>
      </x:c>
      <x:c r="C114" s="6" t="str">
        <x:v>Telegram-архив</x:v>
      </x:c>
      <x:c r="D114" s="6" t="n">
        <x:v>65</x:v>
      </x:c>
      <x:c r="E114" s="7" t="str">
        <x:v>Перед вами зашифрован персонаж культового произведения английского писателя. Мы уверены, что сам персонаж с легкостью прочел бы указанный SYXFRR EK Sete Однофамилец этого персонажа провел 10 сезонов в НБА. Он поиграл в «Филадельфии», «Финиксе», «Сакраменто», «Далласе» и «Вашингтоне». Он до сих пор в лиге. Назовите фамилию персонажа. Или баскетболиста.</x:v>
      </x:c>
      <x:c r="F114" s="7" t="str">
        <x:v>Шерлок Холмс</x:v>
      </x:c>
      <x:c r="G114" s="7" t="str">
        <x:v>Не размечено</x:v>
      </x:c>
      <x:c r="H114" s="7" t="str">
        <x:v>Спорт / смешанное</x:v>
      </x:c>
      <x:c r="I114" s="7" t="str">
        <x:v>Ответ подтверждён реакцией канала: https://t.me/simple_quiz/468?comment=1272</x:v>
      </x:c>
      <x:c r="J114" s="6"/>
      <x:c r="K114" s="6" t="str">
        <x:v>Не оценена</x:v>
      </x:c>
      <x:c r="L114" s="7" t="str">
        <x:v>telegram_archive/media/post_0468_photo_01.jpg</x:v>
      </x:c>
      <x:c r="M114" s="7"/>
      <x:c r="N114" s="7" t="str">
        <x:v>https://t.me/simple_quiz/468</x:v>
      </x:c>
    </x:row>
    <x:row r="115">
      <x:c r="A115" s="6" t="n">
        <x:v>114</x:v>
      </x:c>
      <x:c r="B115" s="6" t="str">
        <x:v>TG</x:v>
      </x:c>
      <x:c r="C115" s="6" t="str">
        <x:v>Telegram-архив</x:v>
      </x:c>
      <x:c r="D115" s="6" t="n">
        <x:v>66</x:v>
      </x:c>
      <x:c r="E115" s="7" t="str">
        <x:v>В США расфорсился скриншот с матча МЛБ между «Чикаго Кабс» и «Питтсбургом». На этом скриншоте видны упрощенные лого команд- участниц и счет матча, в котором одна из команд пока не набрала очков. Символы на этом скриншоте повторяют имя персонажа, фигурировавшего во всех эпизодах известнейшей франшизы. Напишите имя этого персонажа.</x:v>
      </x:c>
      <x:c r="F115" s="7" t="str">
        <x:v>C-3PO</x:v>
      </x:c>
      <x:c r="G115" s="7" t="str">
        <x:v>Не размечено</x:v>
      </x:c>
      <x:c r="H115" s="7" t="str">
        <x:v>Спорт / смешанное</x:v>
      </x:c>
      <x:c r="I115" s="7" t="str">
        <x:v>Ответ подтверждён реакцией канала: https://t.me/simple_quiz/469?comment=1291</x:v>
      </x:c>
      <x:c r="J115" s="6"/>
      <x:c r="K115" s="6" t="str">
        <x:v>Не оценена</x:v>
      </x:c>
      <x:c r="L115" s="7" t="str">
        <x:v>telegram_archive/media/post_0469_photo_01.jpg</x:v>
      </x:c>
      <x:c r="M115" s="7"/>
      <x:c r="N115" s="7" t="str">
        <x:v>https://t.me/simple_quiz/469</x:v>
      </x:c>
    </x:row>
    <x:row r="116">
      <x:c r="A116" s="6" t="n">
        <x:v>115</x:v>
      </x:c>
      <x:c r="B116" s="6" t="str">
        <x:v>TG</x:v>
      </x:c>
      <x:c r="C116" s="6" t="str">
        <x:v>Telegram-архив</x:v>
      </x:c>
      <x:c r="D116" s="6" t="n">
        <x:v>67</x:v>
      </x:c>
      <x:c r="E116" s="7" t="str">
        <x:v>ИКС ИГРЕК - двукратный чемпион НБА, бронзовый призер Олимпийских игр и чемпион мира. ИКС ЗЕТ - звезда НФЛ, которая с 2019 года играет в одной команде. ИПСИЛОН ИКС - обладатель 22 наград «Грэмми». С НФЛ он так или иначе тоже связан. Назовите ИКС.</x:v>
      </x:c>
      <x:c r="F116" s="7" t="str">
        <x:v>Ламар</x:v>
      </x:c>
      <x:c r="G116" s="7" t="str">
        <x:v>Не размечено</x:v>
      </x:c>
      <x:c r="H116" s="7" t="str">
        <x:v>Спорт / смешанное</x:v>
      </x:c>
      <x:c r="I116" s="7" t="str">
        <x:v>Ответ подтверждён реакцией канала: https://t.me/simple_quiz/473?comment=1323</x:v>
      </x:c>
      <x:c r="J116" s="6"/>
      <x:c r="K116" s="6" t="str">
        <x:v>Не оценена</x:v>
      </x:c>
      <x:c r="L116" s="7" t="str">
        <x:v>telegram_archive/media/post_0473_photo_01.jpg</x:v>
      </x:c>
      <x:c r="M116" s="7"/>
      <x:c r="N116" s="7" t="str">
        <x:v>https://t.me/simple_quiz/473</x:v>
      </x:c>
    </x:row>
    <x:row r="117">
      <x:c r="A117" s="6" t="n">
        <x:v>116</x:v>
      </x:c>
      <x:c r="B117" s="6" t="str">
        <x:v>TG</x:v>
      </x:c>
      <x:c r="C117" s="6" t="str">
        <x:v>Telegram-архив</x:v>
      </x:c>
      <x:c r="D117" s="6" t="n">
        <x:v>68</x:v>
      </x:c>
      <x:c r="E117" s="7" t="str">
        <x:v>После поражения сборной Англии по крикету от Австралии в 1882 году The Sporting Times напечатали некролог: «Английский крикет умер 29 августа 1882 года». С тех пор победителям серии матчей между Англией и Австралией в тестовом крикете вручается ОНА. Возможно, если бы EE подарили вам, это вызвало быу вас как минимум непонимание, ау некоторых - даже обиду. Назовите EE двумя словами.</x:v>
      </x:c>
      <x:c r="F117" s="7" t="str">
        <x:v>Урна</x:v>
      </x:c>
      <x:c r="G117" s="7" t="str">
        <x:v>Не размечено</x:v>
      </x:c>
      <x:c r="H117" s="7" t="str">
        <x:v>Спорт / смешанное</x:v>
      </x:c>
      <x:c r="I117" s="7" t="str">
        <x:v>Ответ подтверждён реакцией канала: https://t.me/simple_quiz/474?comment=1332</x:v>
      </x:c>
      <x:c r="J117" s="6"/>
      <x:c r="K117" s="6" t="str">
        <x:v>Не оценена</x:v>
      </x:c>
      <x:c r="L117" s="7" t="str">
        <x:v>telegram_archive/media/post_0474_photo_01.jpg</x:v>
      </x:c>
      <x:c r="M117" s="7"/>
      <x:c r="N117" s="7" t="str">
        <x:v>https://t.me/simple_quiz/474</x:v>
      </x:c>
    </x:row>
    <x:row r="118">
      <x:c r="A118" s="6" t="n">
        <x:v>117</x:v>
      </x:c>
      <x:c r="B118" s="6" t="str">
        <x:v>TG</x:v>
      </x:c>
      <x:c r="C118" s="6" t="str">
        <x:v>Telegram-архив</x:v>
      </x:c>
      <x:c r="D118" s="6" t="n">
        <x:v>69</x:v>
      </x:c>
      <x:c r="E118" s="7" t="str">
        <x:v>Один из текстов на сайте Eurosport.ru, посвященный триумфу одной биатлонистки, был озаглавлен «ОНА маслом». ОНА - фамилия спортсменки, забравшейся на подиум. Назовите ЕЕ.</x:v>
      </x:c>
      <x:c r="F118" s="7" t="str">
        <x:v>Надежда Скардино</x:v>
      </x:c>
      <x:c r="G118" s="7" t="str">
        <x:v>Не размечено</x:v>
      </x:c>
      <x:c r="H118" s="7" t="str">
        <x:v>Спорт / смешанное</x:v>
      </x:c>
      <x:c r="I118" s="7" t="str">
        <x:v>Ответ подтверждён реакцией канала: https://t.me/simple_quiz/505?comment=1448</x:v>
      </x:c>
      <x:c r="J118" s="6"/>
      <x:c r="K118" s="6" t="str">
        <x:v>Не оценена</x:v>
      </x:c>
      <x:c r="L118" s="7" t="str">
        <x:v>telegram_archive/media/post_0505_photo_01.jpg</x:v>
      </x:c>
      <x:c r="M118" s="7"/>
      <x:c r="N118" s="7" t="str">
        <x:v>https://t.me/simple_quiz/505</x:v>
      </x:c>
    </x:row>
    <x:row r="119">
      <x:c r="A119" s="6" t="n">
        <x:v>118</x:v>
      </x:c>
      <x:c r="B119" s="6" t="str">
        <x:v>TG</x:v>
      </x:c>
      <x:c r="C119" s="6" t="str">
        <x:v>Telegram-архив</x:v>
      </x:c>
      <x:c r="D119" s="6" t="n">
        <x:v>70</x:v>
      </x:c>
      <x:c r="E119" s="7" t="str">
        <x:v>Перед вами список спортсменов: легкоатлет Ноа Лайлз, гольфист Брайсон Дешамбо, теннисистка Серена Уильямс, бейсболист Аарон Джадж, футболисты Неймар и Криштиану Роналду, баскетболисты Стефен Карри и Дэмиан Лиллард. В 2024 и 2025 гг. их медийно объединил один человек 1998 года рождения, чье настоящее имя — Джеймс Стивен Дональдсон. Назовите псевдоним этого человека.</x:v>
      </x:c>
      <x:c r="F119" s="7" t="str">
        <x:v>MrBeast</x:v>
      </x:c>
      <x:c r="G119" s="7" t="str">
        <x:v>Не размечено</x:v>
      </x:c>
      <x:c r="H119" s="7" t="str">
        <x:v>Спорт / смешанное</x:v>
      </x:c>
      <x:c r="I119" s="7" t="str">
        <x:v>Ответ подтверждён реакцией канала: https://t.me/simple_quiz/507?comment=1459</x:v>
      </x:c>
      <x:c r="J119" s="6"/>
      <x:c r="K119" s="6" t="str">
        <x:v>Не оценена</x:v>
      </x:c>
      <x:c r="L119" s="7" t="str">
        <x:v>telegram_archive/media/post_0507_photo_01.jpg</x:v>
      </x:c>
      <x:c r="M119" s="7"/>
      <x:c r="N119" s="7" t="str">
        <x:v>https://t.me/simple_quiz/507</x:v>
      </x:c>
    </x:row>
    <x:row r="120">
      <x:c r="A120" s="6" t="n">
        <x:v>119</x:v>
      </x:c>
      <x:c r="B120" s="6" t="str">
        <x:v>TG</x:v>
      </x:c>
      <x:c r="C120" s="6" t="str">
        <x:v>Telegram-архив</x:v>
      </x:c>
      <x:c r="D120" s="6" t="n">
        <x:v>71</x:v>
      </x:c>
      <x:c r="E120" s="7" t="str">
        <x:v>Имена Диего Марадоны, Майка Тайсона, Роналдиньо, Флойда Мэйуэзера, Аллена Айверсона фигурировали в различных ИХ. В архитектуре ОН, помимо самых известных, бывает коринфским или тосканским. Назовите ЕГО.</x:v>
      </x:c>
      <x:c r="F120" s="7" t="str">
        <x:v>Ордер</x:v>
      </x:c>
      <x:c r="G120" s="7" t="str">
        <x:v>Не размечено</x:v>
      </x:c>
      <x:c r="H120" s="7" t="str">
        <x:v>Спорт / смешанное</x:v>
      </x:c>
      <x:c r="I120" s="7" t="str">
        <x:v>Ответ подтверждён реакцией канала: https://t.me/simple_quiz/508?comment=1461</x:v>
      </x:c>
      <x:c r="J120" s="6"/>
      <x:c r="K120" s="6" t="str">
        <x:v>Не оценена</x:v>
      </x:c>
      <x:c r="L120" s="7" t="str">
        <x:v>telegram_archive/media/post_0508_photo_01.jpg</x:v>
      </x:c>
      <x:c r="M120" s="7"/>
      <x:c r="N120" s="7" t="str">
        <x:v>https://t.me/simple_quiz/508</x:v>
      </x:c>
    </x:row>
    <x:row r="121">
      <x:c r="A121" s="6" t="n">
        <x:v>120</x:v>
      </x:c>
      <x:c r="B121" s="6" t="str">
        <x:v>TG</x:v>
      </x:c>
      <x:c r="C121" s="6" t="str">
        <x:v>Telegram-архив</x:v>
      </x:c>
      <x:c r="D121" s="6" t="n">
        <x:v>72</x:v>
      </x:c>
      <x:c r="E121" s="7" t="str">
        <x:v>Эта аббревиатура в какой-то степени ассоциируется с темнокожими людьми, правда, не в спортивных медиа, а в диджитал-файлах совершенно другого типа. A еще эта аббревиатура - название медиа, у которого есть не только спортивный раздел, но и целое пан- Африканское направление и редакция. Воспроизведите эту аббревиатуру, состоящую из трех латинских букв.</x:v>
      </x:c>
      <x:c r="F121" s="7" t="str">
        <x:v>BBC</x:v>
      </x:c>
      <x:c r="G121" s="7" t="str">
        <x:v>Не размечено</x:v>
      </x:c>
      <x:c r="H121" s="7" t="str">
        <x:v>Спорт / смешанное</x:v>
      </x:c>
      <x:c r="I121" s="7" t="str">
        <x:v>Ответ подтверждён реакцией канала: https://t.me/simple_quiz/509?comment=1466</x:v>
      </x:c>
      <x:c r="J121" s="6"/>
      <x:c r="K121" s="6" t="str">
        <x:v>Не оценена</x:v>
      </x:c>
      <x:c r="L121" s="7" t="str">
        <x:v>telegram_archive/media/post_0509_photo_01.jpg</x:v>
      </x:c>
      <x:c r="M121" s="7"/>
      <x:c r="N121" s="7" t="str">
        <x:v>https://t.me/simple_quiz/509</x:v>
      </x:c>
    </x:row>
    <x:row r="122">
      <x:c r="A122" s="6" t="n">
        <x:v>121</x:v>
      </x:c>
      <x:c r="B122" s="6" t="str">
        <x:v>TG</x:v>
      </x:c>
      <x:c r="C122" s="6" t="str">
        <x:v>Telegram-архив</x:v>
      </x:c>
      <x:c r="D122" s="6" t="n">
        <x:v>73</x:v>
      </x:c>
      <x:c r="E122" s="7" t="str">
        <x:v>В романтическом плане Матвея Сафонова можно назвать ИМ - например, для его жены Марины. OH на французском языке — фамилия одного из партнеров Сафонова. Также ОН во Франции- низшая категория ордена Почетного легиона. Назовите ЕГО французским словом.</x:v>
      </x:c>
      <x:c r="F122" s="7" t="str">
        <x:v>Chevalier (шевалье)</x:v>
      </x:c>
      <x:c r="G122" s="7" t="str">
        <x:v>Не размечено</x:v>
      </x:c>
      <x:c r="H122" s="7" t="str">
        <x:v>Спорт / смешанное</x:v>
      </x:c>
      <x:c r="I122" s="7" t="str">
        <x:v>Ответ подтверждён реакцией канала: https://t.me/simple_quiz/511?comment=1483</x:v>
      </x:c>
      <x:c r="J122" s="6"/>
      <x:c r="K122" s="6" t="str">
        <x:v>Не оценена</x:v>
      </x:c>
      <x:c r="L122" s="7" t="str">
        <x:v>telegram_archive/media/post_0511_photo_01.jpg</x:v>
      </x:c>
      <x:c r="M122" s="7"/>
      <x:c r="N122" s="7" t="str">
        <x:v>https://t.me/simple_quiz/511</x:v>
      </x:c>
    </x:row>
    <x:row r="123">
      <x:c r="A123" s="6" t="n">
        <x:v>122</x:v>
      </x:c>
      <x:c r="B123" s="6" t="str">
        <x:v>TG</x:v>
      </x:c>
      <x:c r="C123" s="6" t="str">
        <x:v>Telegram-архив</x:v>
      </x:c>
      <x:c r="D123" s="6" t="n">
        <x:v>74</x:v>
      </x:c>
      <x:c r="E123" s="7" t="str">
        <x:v>В Северной Америке ТАК называют скамейки на матчах по бейсболу и американскому футболу, а также зрителей на этих играх. Одна из версий происхождения термина - что деревянные скамейки выгорали или выцветали на солнце. Также ЭТО СЛОВО присутствует в названии американского спортивного медиа, основанного в 2005 году. По сути, первые тексты создателей сайта стали взглядом с этих самых скамеек. Назовите слово или спортивное медиа.</x:v>
      </x:c>
      <x:c r="F123" s="7" t="str">
        <x:v>Bleachers</x:v>
      </x:c>
      <x:c r="G123" s="7" t="str">
        <x:v>Не размечено</x:v>
      </x:c>
      <x:c r="H123" s="7" t="str">
        <x:v>Спорт / смешанное</x:v>
      </x:c>
      <x:c r="I123" s="7" t="str">
        <x:v>Ответ подтверждён реакцией канала: https://t.me/simple_quiz/512?comment=1490</x:v>
      </x:c>
      <x:c r="J123" s="6"/>
      <x:c r="K123" s="6" t="str">
        <x:v>Не оценена</x:v>
      </x:c>
      <x:c r="L123" s="7" t="str">
        <x:v>telegram_archive/media/post_0512_photo_01.jpg</x:v>
      </x:c>
      <x:c r="M123" s="7"/>
      <x:c r="N123" s="7" t="str">
        <x:v>https://t.me/simple_quiz/512</x:v>
      </x:c>
    </x:row>
    <x:row r="124">
      <x:c r="A124" s="6" t="n">
        <x:v>123</x:v>
      </x:c>
      <x:c r="B124" s="6" t="str">
        <x:v>TG</x:v>
      </x:c>
      <x:c r="C124" s="6" t="str">
        <x:v>Telegram-архив</x:v>
      </x:c>
      <x:c r="D124" s="6" t="n">
        <x:v>75</x:v>
      </x:c>
      <x:c r="E124" s="7" t="str">
        <x:v>Если бы Артем Дзюба провел всю карьеру в «Спартаке», то из-за одного факта биографии форварда на «Лукойл Арене» его могли бы называть ИКСом. ИКС - прозвище заметного политического деятеля, который жил в России на стыке 16-го и Т7-го веков. Назовите ИКС двумя словами.</x:v>
      </x:c>
      <x:c r="F124" s="7" t="str">
        <x:v>Тушинский вор</x:v>
      </x:c>
      <x:c r="G124" s="7" t="str">
        <x:v>Не размечено</x:v>
      </x:c>
      <x:c r="H124" s="7" t="str">
        <x:v>Спорт / смешанное</x:v>
      </x:c>
      <x:c r="I124" s="7" t="str">
        <x:v>Ответ подтверждён реакцией канала: https://t.me/simple_quiz/514?comment=1494</x:v>
      </x:c>
      <x:c r="J124" s="6"/>
      <x:c r="K124" s="6" t="str">
        <x:v>Не оценена</x:v>
      </x:c>
      <x:c r="L124" s="7" t="str">
        <x:v>telegram_archive/media/post_0514_photo_01.jpg</x:v>
      </x:c>
      <x:c r="M124" s="7"/>
      <x:c r="N124" s="7" t="str">
        <x:v>https://t.me/simple_quiz/514</x:v>
      </x:c>
    </x:row>
    <x:row r="125">
      <x:c r="A125" s="6" t="n">
        <x:v>124</x:v>
      </x:c>
      <x:c r="B125" s="6" t="str">
        <x:v>TG</x:v>
      </x:c>
      <x:c r="C125" s="6" t="str">
        <x:v>Telegram-архив</x:v>
      </x:c>
      <x:c r="D125" s="6" t="n">
        <x:v>76</x:v>
      </x:c>
      <x:c r="E125" s="7" t="str">
        <x:v>В топ-100 прямых эфиров на американском телевидении в 2023 году вошли сразу 97 спортивных трансляций. 94 из них - это матчи NFL. A 3 оставшихся?</x:v>
      </x:c>
      <x:c r="F125" s="7" t="str">
        <x:v>NCAA</x:v>
      </x:c>
      <x:c r="G125" s="7" t="str">
        <x:v>Не размечено</x:v>
      </x:c>
      <x:c r="H125" s="7" t="str">
        <x:v>Спорт / смешанное</x:v>
      </x:c>
      <x:c r="I125" s="7" t="str">
        <x:v>Ответ подтверждён реакцией канала: https://t.me/simple_quiz/516?comment=1508</x:v>
      </x:c>
      <x:c r="J125" s="6"/>
      <x:c r="K125" s="6" t="str">
        <x:v>Не оценена</x:v>
      </x:c>
      <x:c r="L125" s="7" t="str">
        <x:v>telegram_archive/media/post_0516_photo_01.jpg</x:v>
      </x:c>
      <x:c r="M125" s="7"/>
      <x:c r="N125" s="7" t="str">
        <x:v>https://t.me/simple_quiz/516</x:v>
      </x:c>
    </x:row>
    <x:row r="126">
      <x:c r="A126" s="6" t="n">
        <x:v>125</x:v>
      </x:c>
      <x:c r="B126" s="6" t="str">
        <x:v>TG</x:v>
      </x:c>
      <x:c r="C126" s="6" t="str">
        <x:v>Telegram-архив</x:v>
      </x:c>
      <x:c r="D126" s="6" t="n">
        <x:v>77</x:v>
      </x:c>
      <x:c r="E126" s="7" t="str">
        <x:v>Карьера Сергея Юрьевича началась в клубе из Узбекистана в 1991 году, а завершилась в 2018 году в клубе из Белгорода. Сергей Юрьевич - олимпийский чемпион. Карьера Павла Сергеевича началась в 2017 году в клубе из Белгорода. Назовите фамилию Сергея Юрьевича и Павла Сергеевича.</x:v>
      </x:c>
      <x:c r="F126" s="7" t="str">
        <x:v>Сергей Тетюхин</x:v>
      </x:c>
      <x:c r="G126" s="7" t="str">
        <x:v>Не размечено</x:v>
      </x:c>
      <x:c r="H126" s="7" t="str">
        <x:v>Спорт / смешанное</x:v>
      </x:c>
      <x:c r="I126" s="7" t="str">
        <x:v>Ответ подтверждён реакцией канала: https://t.me/simple_quiz/517?comment=1514</x:v>
      </x:c>
      <x:c r="J126" s="6"/>
      <x:c r="K126" s="6" t="str">
        <x:v>Не оценена</x:v>
      </x:c>
      <x:c r="L126" s="7" t="str">
        <x:v>telegram_archive/media/post_0517_photo_01.jpg</x:v>
      </x:c>
      <x:c r="M126" s="7"/>
      <x:c r="N126" s="7" t="str">
        <x:v>https://t.me/simple_quiz/517</x:v>
      </x:c>
    </x:row>
    <x:row r="127">
      <x:c r="A127" s="6" t="n">
        <x:v>126</x:v>
      </x:c>
      <x:c r="B127" s="6" t="str">
        <x:v>TG</x:v>
      </x:c>
      <x:c r="C127" s="6" t="str">
        <x:v>Telegram-архив</x:v>
      </x:c>
      <x:c r="D127" s="6" t="n">
        <x:v>78</x:v>
      </x:c>
      <x:c r="E127" s="7" t="str">
        <x:v>В 1999 году «Манчестер Сити» подписал контракт с издательством Eidos Interactive. С анонса того соглашения осталось несколько фотографий с НЕЙ. В 2020 году сайт Coop-Land признал EE грудь лучшей в истории индустрии. Кого мы загадали под НЕЙ?</x:v>
      </x:c>
      <x:c r="F127" s="7" t="str">
        <x:v>Лара Крофт</x:v>
      </x:c>
      <x:c r="G127" s="7" t="str">
        <x:v>Не размечено</x:v>
      </x:c>
      <x:c r="H127" s="7" t="str">
        <x:v>Спорт / смешанное</x:v>
      </x:c>
      <x:c r="I127" s="7" t="str">
        <x:v>Ответ подтверждён реакцией канала: https://t.me/simple_quiz/518?comment=1518</x:v>
      </x:c>
      <x:c r="J127" s="6"/>
      <x:c r="K127" s="6" t="str">
        <x:v>Не оценена</x:v>
      </x:c>
      <x:c r="L127" s="7" t="str">
        <x:v>telegram_archive/media/post_0518_photo_01.jpg</x:v>
      </x:c>
      <x:c r="M127" s="7"/>
      <x:c r="N127" s="7" t="str">
        <x:v>https://t.me/simple_quiz/518</x:v>
      </x:c>
    </x:row>
    <x:row r="128">
      <x:c r="A128" s="6" t="n">
        <x:v>127</x:v>
      </x:c>
      <x:c r="B128" s="6" t="str">
        <x:v>TG</x:v>
      </x:c>
      <x:c r="C128" s="6" t="str">
        <x:v>Telegram-архив</x:v>
      </x:c>
      <x:c r="D128" s="6" t="n">
        <x:v>79</x:v>
      </x:c>
      <x:c r="E128" s="7" t="str">
        <x:v>В одном из спешалов комик Эндрю Шульц рассуждал о разнице между Чикаго и Нью-Иорком. Он обратил внимание, что, в отличие от нью-йоркцев, жители Чикаго гордятся трагедиями в городе настолько, что даже назвали команду по футболу - «Чикаго Файр» -— якобы в честь великого чикагского пожара 1871 года. Когда Шульц начал рассуждать о названиях команд в Нью- Иорке, зал взорвался от смеха. Название какой команды вызвало у зрителей истерику?</x:v>
      </x:c>
      <x:c r="F128" s="7" t="str">
        <x:v>Jets</x:v>
      </x:c>
      <x:c r="G128" s="7" t="str">
        <x:v>Не размечено</x:v>
      </x:c>
      <x:c r="H128" s="7" t="str">
        <x:v>Спорт / смешанное</x:v>
      </x:c>
      <x:c r="I128" s="7" t="str">
        <x:v>Ответ подтверждён реакцией канала: https://t.me/simple_quiz/519?comment=1527</x:v>
      </x:c>
      <x:c r="J128" s="6"/>
      <x:c r="K128" s="6" t="str">
        <x:v>Не оценена</x:v>
      </x:c>
      <x:c r="L128" s="7" t="str">
        <x:v>telegram_archive/media/post_0519_photo_01.jpg</x:v>
      </x:c>
      <x:c r="M128" s="7"/>
      <x:c r="N128" s="7" t="str">
        <x:v>https://t.me/simple_quiz/519</x:v>
      </x:c>
    </x:row>
    <x:row r="129">
      <x:c r="A129" s="6" t="n">
        <x:v>128</x:v>
      </x:c>
      <x:c r="B129" s="6" t="str">
        <x:v>TG</x:v>
      </x:c>
      <x:c r="C129" s="6" t="str">
        <x:v>Telegram-архив</x:v>
      </x:c>
      <x:c r="D129" s="6" t="n">
        <x:v>80</x:v>
      </x:c>
      <x:c r="E129" s="7" t="str">
        <x:v>Блогер Софья Шамсутдинова ведет блог на «Спортсе”» и снимает рилзы Ha тему того, как учится играть в футбол: в роликах она чеканит мяч и делает разнообразные трюки. Название ее блога - каламбур, связанный сее именем и хорватским ресурсом, помогающим следить за ходом матча. Воспроизведите ее никнейм на «Спортсе”» и в других соцсетях.</x:v>
      </x:c>
      <x:c r="F129" s="7" t="str">
        <x:v>Sofascore</x:v>
      </x:c>
      <x:c r="G129" s="7" t="str">
        <x:v>Не размечено</x:v>
      </x:c>
      <x:c r="H129" s="7" t="str">
        <x:v>Спорт / смешанное</x:v>
      </x:c>
      <x:c r="I129" s="7" t="str">
        <x:v>Ответ подтверждён реакцией канала: https://t.me/simple_quiz/520?comment=1530</x:v>
      </x:c>
      <x:c r="J129" s="6"/>
      <x:c r="K129" s="6" t="str">
        <x:v>Не оценена</x:v>
      </x:c>
      <x:c r="L129" s="7" t="str">
        <x:v>telegram_archive/media/post_0520_photo_01.jpg</x:v>
      </x:c>
      <x:c r="M129" s="7"/>
      <x:c r="N129" s="7" t="str">
        <x:v>https://t.me/simple_quiz/520</x:v>
      </x:c>
    </x:row>
    <x:row r="130">
      <x:c r="A130" s="6" t="n">
        <x:v>129</x:v>
      </x:c>
      <x:c r="B130" s="6" t="str">
        <x:v>TG</x:v>
      </x:c>
      <x:c r="C130" s="6" t="str">
        <x:v>Telegram-архив</x:v>
      </x:c>
      <x:c r="D130" s="6" t="n">
        <x:v>81</x:v>
      </x:c>
      <x:c r="E130" s="7" t="str">
        <x:v>В треке рэпера «эхопрокуренныхподъездов», посвященном одному из футболистов, есть следующие строчки: «И тебе больше не увидеть, как Кану Заколачивает со стандарта ИКС» ИКС реально забивал Кану со стандарта. Назовите ИКС.</x:v>
      </x:c>
      <x:c r="F130" s="7" t="str">
        <x:v>Не опубликован в посте</x:v>
      </x:c>
      <x:c r="G130" s="7" t="str">
        <x:v>Не размечено</x:v>
      </x:c>
      <x:c r="H130" s="7" t="str">
        <x:v>Спорт / смешанное</x:v>
      </x:c>
      <x:c r="I130" s="7" t="str">
        <x:v>OCR из карточки; требуется редакторская проверка</x:v>
      </x:c>
      <x:c r="J130" s="6"/>
      <x:c r="K130" s="6" t="str">
        <x:v>Не оценена</x:v>
      </x:c>
      <x:c r="L130" s="7" t="str">
        <x:v>telegram_archive/media/post_0521_photo_01.jpg</x:v>
      </x:c>
      <x:c r="M130" s="7"/>
      <x:c r="N130" s="7" t="str">
        <x:v>https://t.me/simple_quiz/521</x:v>
      </x:c>
    </x:row>
    <x:row r="131">
      <x:c r="A131" s="6" t="n">
        <x:v>130</x:v>
      </x:c>
      <x:c r="B131" s="6" t="str">
        <x:v>TG</x:v>
      </x:c>
      <x:c r="C131" s="6" t="str">
        <x:v>Telegram-архив</x:v>
      </x:c>
      <x:c r="D131" s="6" t="n">
        <x:v>82</x:v>
      </x:c>
      <x:c r="E131" s="7" t="str">
        <x:v>Фотограф Денис Тырин опубликовал фотографию с турнира по фигурному катанию. Благодаря талантливому кадрированию фото от названия турнира на рекламном щите за спиной Аделии Петросян осталось лишь шесть букв, что добавило фотографии дополнительный смысл. Эти шесть букв вы можете найти даже в первом абзаце вопроса. Напишите их.</x:v>
      </x:c>
      <x:c r="F131" s="7" t="str">
        <x:v>Пофигу</x:v>
      </x:c>
      <x:c r="G131" s="7" t="str">
        <x:v>Не размечено</x:v>
      </x:c>
      <x:c r="H131" s="7" t="str">
        <x:v>Спорт / смешанное</x:v>
      </x:c>
      <x:c r="I131" s="7" t="str">
        <x:v>Ответ подтверждён реакцией канала: https://t.me/simple_quiz/524?comment=1570</x:v>
      </x:c>
      <x:c r="J131" s="6"/>
      <x:c r="K131" s="6" t="str">
        <x:v>Не оценена</x:v>
      </x:c>
      <x:c r="L131" s="7" t="str">
        <x:v>telegram_archive/media/post_0524_photo_01.jpg</x:v>
      </x:c>
      <x:c r="M131" s="7"/>
      <x:c r="N131" s="7" t="str">
        <x:v>https://t.me/simple_quiz/524</x:v>
      </x:c>
    </x:row>
    <x:row r="132">
      <x:c r="A132" s="6" t="n">
        <x:v>131</x:v>
      </x:c>
      <x:c r="B132" s="6" t="str">
        <x:v>TG</x:v>
      </x:c>
      <x:c r="C132" s="6" t="str">
        <x:v>Telegram-архив</x:v>
      </x:c>
      <x:c r="D132" s="6" t="n">
        <x:v>83</x:v>
      </x:c>
      <x:c r="E132" s="7" t="str">
        <x:v>ИКС - фамилия довольно известного монстра. Если к ИКСУ добавить гласную букву и еще один орфографический знак, получится совершенно другой монстр: семикратный чемпион мира, выступающий на про-уровне вот уже 33 года. Назовите вид спорта, в котором выступает второй монстр.</x:v>
      </x:c>
      <x:c r="F132" s="7" t="str">
        <x:v>Снукер</x:v>
      </x:c>
      <x:c r="G132" s="7" t="str">
        <x:v>Не размечено</x:v>
      </x:c>
      <x:c r="H132" s="7" t="str">
        <x:v>Спорт / смешанное</x:v>
      </x:c>
      <x:c r="I132" s="7" t="str">
        <x:v>Ответ подтверждён реакцией канала: https://t.me/simple_quiz/527?comment=1578</x:v>
      </x:c>
      <x:c r="J132" s="6"/>
      <x:c r="K132" s="6" t="str">
        <x:v>Не оценена</x:v>
      </x:c>
      <x:c r="L132" s="7" t="str">
        <x:v>telegram_archive/media/post_0527_photo_01.jpg</x:v>
      </x:c>
      <x:c r="M132" s="7"/>
      <x:c r="N132" s="7" t="str">
        <x:v>https://t.me/simple_quiz/527</x:v>
      </x:c>
    </x:row>
    <x:row r="133">
      <x:c r="A133" s="6" t="n">
        <x:v>132</x:v>
      </x:c>
      <x:c r="B133" s="6" t="str">
        <x:v>TG</x:v>
      </x:c>
      <x:c r="C133" s="6" t="str">
        <x:v>Telegram-архив</x:v>
      </x:c>
      <x:c r="D133" s="6" t="n">
        <x:v>84</x:v>
      </x:c>
      <x:c r="E133" s="7" t="str">
        <x:v>Среди экс-комментаторов «НТВ-Плюс», оказавшихся на «Матч ТВ», пригласили и ЗАМЕНА. ЗАМЕНА - один из футболистов «Комо». Игрок проводит лишь первый сезон в Серии А после трансфера из загребского «Динамо». Что мы зашифровали под ЗАМЕНА?</x:v>
      </x:c>
      <x:c r="F133" s="7" t="str">
        <x:v>Батурина</x:v>
      </x:c>
      <x:c r="G133" s="7" t="str">
        <x:v>Не размечено</x:v>
      </x:c>
      <x:c r="H133" s="7" t="str">
        <x:v>Спорт / смешанное</x:v>
      </x:c>
      <x:c r="I133" s="7" t="str">
        <x:v>Ответ подтверждён реакцией канала: https://t.me/simple_quiz/535?comment=1607</x:v>
      </x:c>
      <x:c r="J133" s="6"/>
      <x:c r="K133" s="6" t="str">
        <x:v>Не оценена</x:v>
      </x:c>
      <x:c r="L133" s="7" t="str">
        <x:v>telegram_archive/media/post_0535_photo_01.jpg</x:v>
      </x:c>
      <x:c r="M133" s="7"/>
      <x:c r="N133" s="7" t="str">
        <x:v>https://t.me/simple_quiz/535</x:v>
      </x:c>
    </x:row>
    <x:row r="134">
      <x:c r="A134" s="6" t="n">
        <x:v>133</x:v>
      </x:c>
      <x:c r="B134" s="6" t="str">
        <x:v>TG</x:v>
      </x:c>
      <x:c r="C134" s="6" t="str">
        <x:v>Telegram-архив</x:v>
      </x:c>
      <x:c r="D134" s="6" t="n">
        <x:v>85</x:v>
      </x:c>
      <x:c r="E134" s="7" t="str">
        <x:v>В диджитал-версии журнала «Коммерсантъ» публикация, посвященная победе Андрея Рублева над Роджером Федерером, была озаглавлена следующим образом: «Андрей Рублев СДЕЛАЛ ЭТО». В 1904 году в Казанском Богородицком монастыре СДЕЛАЛИ ЭТО - это один из самых известных подобных случаев в России. Закончите заголовок «Коммерсанта» двумя словами.</x:v>
      </x:c>
      <x:c r="F134" s="7" t="str">
        <x:v>Вынес икону</x:v>
      </x:c>
      <x:c r="G134" s="7" t="str">
        <x:v>Не размечено</x:v>
      </x:c>
      <x:c r="H134" s="7" t="str">
        <x:v>Спорт / смешанное</x:v>
      </x:c>
      <x:c r="I134" s="7" t="str">
        <x:v>Ответ подтверждён реакцией канала: https://t.me/simple_quiz/542?comment=1619</x:v>
      </x:c>
      <x:c r="J134" s="6"/>
      <x:c r="K134" s="6" t="str">
        <x:v>Не оценена</x:v>
      </x:c>
      <x:c r="L134" s="7" t="str">
        <x:v>telegram_archive/media/post_0542_photo_01.jpg</x:v>
      </x:c>
      <x:c r="M134" s="7"/>
      <x:c r="N134" s="7" t="str">
        <x:v>https://t.me/simple_quiz/542</x:v>
      </x:c>
    </x:row>
    <x:row r="135">
      <x:c r="A135" s="6" t="n">
        <x:v>134</x:v>
      </x:c>
      <x:c r="B135" s="6" t="str">
        <x:v>TG</x:v>
      </x:c>
      <x:c r="C135" s="6" t="str">
        <x:v>Telegram-архив</x:v>
      </x:c>
      <x:c r="D135" s="6" t="n">
        <x:v>86</x:v>
      </x:c>
      <x:c r="E135" s="7" t="str">
        <x:v>Довольно известный русский иконописец ИКС родился и вырос в Византии, поэтому вошел в историю как ИКС ИГРЕК. Сразу 23 чемпиона Европы по футболу в 21-м веке были ИГРЕКАМИ. Назовите ИГРЕК.</x:v>
      </x:c>
      <x:c r="F135" s="7" t="str">
        <x:v>Феофан Грек</x:v>
      </x:c>
      <x:c r="G135" s="7" t="str">
        <x:v>Не размечено</x:v>
      </x:c>
      <x:c r="H135" s="7" t="str">
        <x:v>Спорт / смешанное</x:v>
      </x:c>
      <x:c r="I135" s="7" t="str">
        <x:v>Ответ подтверждён реакцией канала: https://t.me/simple_quiz/544?comment=1627</x:v>
      </x:c>
      <x:c r="J135" s="6"/>
      <x:c r="K135" s="6" t="str">
        <x:v>Не оценена</x:v>
      </x:c>
      <x:c r="L135" s="7" t="str">
        <x:v>telegram_archive/media/post_0544_photo_01.jpg</x:v>
      </x:c>
      <x:c r="M135" s="7"/>
      <x:c r="N135" s="7" t="str">
        <x:v>https://t.me/simple_quiz/544</x:v>
      </x:c>
    </x:row>
    <x:row r="136">
      <x:c r="A136" s="6" t="n">
        <x:v>135</x:v>
      </x:c>
      <x:c r="B136" s="6" t="str">
        <x:v>TG</x:v>
      </x:c>
      <x:c r="C136" s="6" t="str">
        <x:v>Telegram-архив</x:v>
      </x:c>
      <x:c r="D136" s="6" t="n">
        <x:v>87</x:v>
      </x:c>
      <x:c r="E136" s="7" t="str">
        <x:v>В средневековье во время осады города вражескими войсками в населенном пункте зачастую начинался ОН. Вы можете знать другого ЕГО: он периодически появляется в студии «Матч ТВ». Назовите ЕГО.</x:v>
      </x:c>
      <x:c r="F136" s="7" t="str">
        <x:v>Мор</x:v>
      </x:c>
      <x:c r="G136" s="7" t="str">
        <x:v>Не размечено</x:v>
      </x:c>
      <x:c r="H136" s="7" t="str">
        <x:v>Спорт / смешанное</x:v>
      </x:c>
      <x:c r="I136" s="7" t="str">
        <x:v>Ответ подтверждён реакцией канала: https://t.me/simple_quiz/545?comment=1634</x:v>
      </x:c>
      <x:c r="J136" s="6"/>
      <x:c r="K136" s="6" t="str">
        <x:v>Не оценена</x:v>
      </x:c>
      <x:c r="L136" s="7" t="str">
        <x:v>telegram_archive/media/post_0545_photo_01.jpg</x:v>
      </x:c>
      <x:c r="M136" s="7"/>
      <x:c r="N136" s="7" t="str">
        <x:v>https://t.me/simple_quiz/545</x:v>
      </x:c>
    </x:row>
    <x:row r="137">
      <x:c r="A137" s="6" t="n">
        <x:v>136</x:v>
      </x:c>
      <x:c r="B137" s="6" t="str">
        <x:v>TG</x:v>
      </x:c>
      <x:c r="C137" s="6" t="str">
        <x:v>Telegram-архив</x:v>
      </x:c>
      <x:c r="D137" s="6" t="n">
        <x:v>88</x:v>
      </x:c>
      <x:c r="E137" s="7" t="str">
        <x:v>ИИ-художник jslayart составил несколько ростеров по определенному принципу. В одну команду вошли Джейлен Брансон, Наруто, Гоку, Существо, Микеланджело, Аанг. В другую - Патрик Махоумс, Майкл Джордан, Флеш, Тайгер Вудс, Дэдпул. В третью - Ламар Джексон, TaHoc, Джокер, Канг Завоеватель, Фриза. По какому принципу составлены эти ростеры?</x:v>
      </x:c>
      <x:c r="F137" s="7" t="str">
        <x:v>По цветам костюмов: оранжевый, красный, фиолетовый</x:v>
      </x:c>
      <x:c r="G137" s="7" t="str">
        <x:v>Не размечено</x:v>
      </x:c>
      <x:c r="H137" s="7" t="str">
        <x:v>Спорт / смешанное</x:v>
      </x:c>
      <x:c r="I137" s="7" t="str">
        <x:v>Ответ подтверждён реакцией канала: https://t.me/simple_quiz/551?comment=1657</x:v>
      </x:c>
      <x:c r="J137" s="6"/>
      <x:c r="K137" s="6" t="str">
        <x:v>Не оценена</x:v>
      </x:c>
      <x:c r="L137" s="7" t="str">
        <x:v>telegram_archive/media/post_0551_photo_01.jpg</x:v>
      </x:c>
      <x:c r="M137" s="7"/>
      <x:c r="N137" s="7" t="str">
        <x:v>https://t.me/simple_quiz/551</x:v>
      </x:c>
    </x:row>
    <x:row r="138">
      <x:c r="A138" s="6" t="n">
        <x:v>137</x:v>
      </x:c>
      <x:c r="B138" s="6" t="str">
        <x:v>TG</x:v>
      </x:c>
      <x:c r="C138" s="6" t="str">
        <x:v>Telegram-архив</x:v>
      </x:c>
      <x:c r="D138" s="6" t="n">
        <x:v>89</x:v>
      </x:c>
      <x:c r="E138" s="7" t="str">
        <x:v>В январе 2013 года Ha Sports.ru вышел пост Кирилла Благова, посвященный лишнему весу звезды РПЛ из Эквадора. Вторая часть заголовка выглядела так: «Как отпуск Кайседо превратился в событие». Первая состояла из имени и фамилии известного южноамериканского спортсмена. Воспроизведите каламбур из первой части заголовка.</x:v>
      </x:c>
      <x:c r="F138" s="7" t="str">
        <x:v>Фелипе Масса</x:v>
      </x:c>
      <x:c r="G138" s="7" t="str">
        <x:v>Не размечено</x:v>
      </x:c>
      <x:c r="H138" s="7" t="str">
        <x:v>Спорт / смешанное</x:v>
      </x:c>
      <x:c r="I138" s="7" t="str">
        <x:v>Ответ подтверждён реакцией канала: https://t.me/simple_quiz/552?comment=1660</x:v>
      </x:c>
      <x:c r="J138" s="6"/>
      <x:c r="K138" s="6" t="str">
        <x:v>Не оценена</x:v>
      </x:c>
      <x:c r="L138" s="7" t="str">
        <x:v>telegram_archive/media/post_0552_photo_01.jpg</x:v>
      </x:c>
      <x:c r="M138" s="7"/>
      <x:c r="N138" s="7" t="str">
        <x:v>https://t.me/simple_quiz/552</x:v>
      </x:c>
    </x:row>
    <x:row r="139">
      <x:c r="A139" s="6" t="n">
        <x:v>138</x:v>
      </x:c>
      <x:c r="B139" s="6" t="str">
        <x:v>TG</x:v>
      </x:c>
      <x:c r="C139" s="6" t="str">
        <x:v>Telegram-архив</x:v>
      </x:c>
      <x:c r="D139" s="6" t="n">
        <x:v>90</x:v>
      </x:c>
      <x:c r="E139" s="7" t="str">
        <x:v>Серхио Перес, Сергей Карякин, Артур Шилов - всех их называли ИМ. Маурицио Сарри называл ИМ Лучано Спаллетти. Действующего ЕГО мы называть не будем. Назовите ЕГО двумя словами.</x:v>
      </x:c>
      <x:c r="F139" s="7" t="str">
        <x:v>Министр обороны</x:v>
      </x:c>
      <x:c r="G139" s="7" t="str">
        <x:v>Не размечено</x:v>
      </x:c>
      <x:c r="H139" s="7" t="str">
        <x:v>Спорт / смешанное</x:v>
      </x:c>
      <x:c r="I139" s="7" t="str">
        <x:v>Ответ подтверждён реакцией канала: https://t.me/simple_quiz/553?comment=1668</x:v>
      </x:c>
      <x:c r="J139" s="6"/>
      <x:c r="K139" s="6" t="str">
        <x:v>Не оценена</x:v>
      </x:c>
      <x:c r="L139" s="7" t="str">
        <x:v>telegram_archive/media/post_0553_photo_01.jpg</x:v>
      </x:c>
      <x:c r="M139" s="7"/>
      <x:c r="N139" s="7" t="str">
        <x:v>https://t.me/simple_quiz/553</x:v>
      </x:c>
    </x:row>
    <x:row r="140">
      <x:c r="A140" s="6" t="n">
        <x:v>139</x:v>
      </x:c>
      <x:c r="B140" s="6" t="str">
        <x:v>TG</x:v>
      </x:c>
      <x:c r="C140" s="6" t="str">
        <x:v>Telegram-архив</x:v>
      </x:c>
      <x:c r="D140" s="6" t="n">
        <x:v>91</x:v>
      </x:c>
      <x:c r="E140" s="7" t="str">
        <x:v>ОНО - один из самых популярных фильмов Брайана Де Пальмы. ОНО - прозвище культового футболиста, который отбегал 17 матчей за «Галатасарай», а потом 17 лет играл исключительно в клубах из топ-5 лиг Европы. Что такое ОНО? Ответьте тремя словами.</x:v>
      </x:c>
      <x:c r="F140" s="7" t="str">
        <x:v>Лицо со шрамом</x:v>
      </x:c>
      <x:c r="G140" s="7" t="str">
        <x:v>Не размечено</x:v>
      </x:c>
      <x:c r="H140" s="7" t="str">
        <x:v>Спорт / смешанное</x:v>
      </x:c>
      <x:c r="I140" s="7" t="str">
        <x:v>Ответ подтверждён реакцией канала: https://t.me/simple_quiz/555?comment=1673</x:v>
      </x:c>
      <x:c r="J140" s="6"/>
      <x:c r="K140" s="6" t="str">
        <x:v>Не оценена</x:v>
      </x:c>
      <x:c r="L140" s="7" t="str">
        <x:v>telegram_archive/media/post_0555_photo_01.jpg</x:v>
      </x:c>
      <x:c r="M140" s="7"/>
      <x:c r="N140" s="7" t="str">
        <x:v>https://t.me/simple_quiz/555</x:v>
      </x:c>
    </x:row>
    <x:row r="141">
      <x:c r="A141" s="6" t="n">
        <x:v>140</x:v>
      </x:c>
      <x:c r="B141" s="6" t="str">
        <x:v>TG</x:v>
      </x:c>
      <x:c r="C141" s="6" t="str">
        <x:v>Telegram-архив</x:v>
      </x:c>
      <x:c r="D141" s="6" t="n">
        <x:v>92</x:v>
      </x:c>
      <x:c r="E141" s="7" t="str">
        <x:v>_—— ss В 2021 году в Германии выпустили 110 почтовые марки, посвященные 25- о к Fa С летнему юбилею победы ЕГО a АА. ag м4 *у над действующим на тот момент им а ем 3 тг AS dy Hye чемпионом мира Гарри Каспаровым. и мм “a ast i Несмотря на то, что мы скрыли 2 ЖЕ! фрагмент марки, вы все равно можете a F рассмотреть ЕГО на изображении. САВЕ! KASPAROW 20216 Назовите ЕГО имя двумя английскими словами абсолютно точно.</x:v>
      </x:c>
      <x:c r="F141" s="7" t="str">
        <x:v>Deep Blue</x:v>
      </x:c>
      <x:c r="G141" s="7" t="str">
        <x:v>Не размечено</x:v>
      </x:c>
      <x:c r="H141" s="7" t="str">
        <x:v>Спорт / смешанное</x:v>
      </x:c>
      <x:c r="I141" s="7" t="str">
        <x:v>Ответ подтверждён реакцией канала: https://t.me/simple_quiz/561?comment=1686</x:v>
      </x:c>
      <x:c r="J141" s="6"/>
      <x:c r="K141" s="6" t="str">
        <x:v>Не оценена</x:v>
      </x:c>
      <x:c r="L141" s="7" t="str">
        <x:v>telegram_archive/media/post_0561_photo_01.jpg</x:v>
      </x:c>
      <x:c r="M141" s="7"/>
      <x:c r="N141" s="7" t="str">
        <x:v>https://t.me/simple_quiz/561</x:v>
      </x:c>
    </x:row>
    <x:row r="142">
      <x:c r="A142" s="6" t="n">
        <x:v>141</x:v>
      </x:c>
      <x:c r="B142" s="6" t="str">
        <x:v>TG</x:v>
      </x:c>
      <x:c r="C142" s="6" t="str">
        <x:v>Telegram-архив</x:v>
      </x:c>
      <x:c r="D142" s="6" t="n">
        <x:v>93</x:v>
      </x:c>
      <x:c r="E142" s="7" t="str">
        <x:v>В США начали принимать ставки на то, кто СДЕЛАЕТ ЭТО до 2027 года. Иронично, что шансы на то, что Леброн Джеймс СДЕЛАЕТ ЭТО до 2027 года, оценивают выше, чем шансы на чемпионство «Лейкерс». Согласно котировкам букмекеров, шансы Леброна на то, что он СДЕЛАЕТ ЭТО до 2027 года, ниже, чем, например, владельца «Далласа» Марка Кьюбана, экс-игрока НФЛ Тома Брэйди, спортивного аналитика Стивена Эй Смита, а еще - Дуэйна «Скалы» Джонсона, Джорджа Клуни, Илона Маска и Ким Кардашьян. Что мы зашифровали под СДЕЛАЕТ ЭТО?</x:v>
      </x:c>
      <x:c r="F142" s="7" t="str">
        <x:v>Объявит о выдвижении в президенты</x:v>
      </x:c>
      <x:c r="G142" s="7" t="str">
        <x:v>Не размечено</x:v>
      </x:c>
      <x:c r="H142" s="7" t="str">
        <x:v>Спорт / смешанное</x:v>
      </x:c>
      <x:c r="I142" s="7" t="str">
        <x:v>Ответ подтверждён реакцией канала: https://t.me/simple_quiz/567?comment=1698</x:v>
      </x:c>
      <x:c r="J142" s="6"/>
      <x:c r="K142" s="6" t="str">
        <x:v>Не оценена</x:v>
      </x:c>
      <x:c r="L142" s="7" t="str">
        <x:v>telegram_archive/media/post_0567_photo_01.jpg</x:v>
      </x:c>
      <x:c r="M142" s="7"/>
      <x:c r="N142" s="7" t="str">
        <x:v>https://t.me/simple_quiz/567</x:v>
      </x:c>
    </x:row>
    <x:row r="143">
      <x:c r="A143" s="6" t="n">
        <x:v>142</x:v>
      </x:c>
      <x:c r="B143" s="6" t="str">
        <x:v>TG</x:v>
      </x:c>
      <x:c r="C143" s="6" t="str">
        <x:v>Telegram-архив</x:v>
      </x:c>
      <x:c r="D143" s="6" t="n">
        <x:v>94</x:v>
      </x:c>
      <x:c r="E143" s="7" t="str">
        <x:v>В 1921 году британец Гарольд Сирлс Торнтон запатентовал некое устройство. Его структуру можно описать числовым рядом «123553 2 I». Сейчас многие из вас знают это устройство как ИКС Другой ИКС, который вы тоже можете знать, был основан на год раньше, в 1920 году в Нюрнберге. Назовите ИКС.</x:v>
      </x:c>
      <x:c r="F143" s="7" t="str">
        <x:v>Кикер</x:v>
      </x:c>
      <x:c r="G143" s="7" t="str">
        <x:v>Не размечено</x:v>
      </x:c>
      <x:c r="H143" s="7" t="str">
        <x:v>Спорт / смешанное</x:v>
      </x:c>
      <x:c r="I143" s="7" t="str">
        <x:v>Ответ подтверждён реакцией канала: https://t.me/simple_quiz/568?comment=1706</x:v>
      </x:c>
      <x:c r="J143" s="6"/>
      <x:c r="K143" s="6" t="str">
        <x:v>Не оценена</x:v>
      </x:c>
      <x:c r="L143" s="7" t="str">
        <x:v>telegram_archive/media/post_0568_photo_01.jpg</x:v>
      </x:c>
      <x:c r="M143" s="7"/>
      <x:c r="N143" s="7" t="str">
        <x:v>https://t.me/simple_quiz/568</x:v>
      </x:c>
    </x:row>
    <x:row r="144">
      <x:c r="A144" s="6" t="n">
        <x:v>143</x:v>
      </x:c>
      <x:c r="B144" s="6" t="str">
        <x:v>TG</x:v>
      </x:c>
      <x:c r="C144" s="6" t="str">
        <x:v>Telegram-архив</x:v>
      </x:c>
      <x:c r="D144" s="6" t="n">
        <x:v>95</x:v>
      </x:c>
      <x:c r="E144" s="7" t="str">
        <x:v>В 2008 году сайт Goal.com опубликовал пост, посвященный поражению «Ювентуса» в еврокубковом матче. Он звучал на английском так: «Old Lady unable to master ПРОПУСК at home». Разумеется, в заголовке зашифрована игра слов, причем довольно непристойная. Заполните ПРОПУСК четырьмя буквами.</x:v>
      </x:c>
      <x:c r="F144" s="7" t="str">
        <x:v>БАТЭ</x:v>
      </x:c>
      <x:c r="G144" s="7" t="str">
        <x:v>Не размечено</x:v>
      </x:c>
      <x:c r="H144" s="7" t="str">
        <x:v>Спорт / смешанное</x:v>
      </x:c>
      <x:c r="I144" s="7" t="str">
        <x:v>Ответ подтверждён реакцией канала: https://t.me/simple_quiz/569?comment=1709</x:v>
      </x:c>
      <x:c r="J144" s="6"/>
      <x:c r="K144" s="6" t="str">
        <x:v>Не оценена</x:v>
      </x:c>
      <x:c r="L144" s="7" t="str">
        <x:v>telegram_archive/media/post_0569_photo_01.jpg</x:v>
      </x:c>
      <x:c r="M144" s="7"/>
      <x:c r="N144" s="7" t="str">
        <x:v>https://t.me/simple_quiz/569</x:v>
      </x:c>
    </x:row>
    <x:row r="145">
      <x:c r="A145" s="6" t="n">
        <x:v>144</x:v>
      </x:c>
      <x:c r="B145" s="6" t="str">
        <x:v>TG</x:v>
      </x:c>
      <x:c r="C145" s="6" t="str">
        <x:v>Telegram-архив</x:v>
      </x:c>
      <x:c r="D145" s="6" t="n">
        <x:v>96</x:v>
      </x:c>
      <x:c r="E145" s="7" t="str">
        <x:v>«Википедия» считает, что одна ОНА больше известна под фамилией Белобородова. МОК аннулировал ее золотую медаль Олимпиады-2012. Другая ОНА имела непосредственное отношение к интеллектуальным играм, но стала известной благодаря спортивным медиа. ОН - один из самых заметных и известных журналистов «Чемпионата». Какая фамилия объединяет этих людей?</x:v>
      </x:c>
      <x:c r="F145" s="7" t="str">
        <x:v>Лысенко</x:v>
      </x:c>
      <x:c r="G145" s="7" t="str">
        <x:v>Не размечено</x:v>
      </x:c>
      <x:c r="H145" s="7" t="str">
        <x:v>Спорт / смешанное</x:v>
      </x:c>
      <x:c r="I145" s="7" t="str">
        <x:v>Ответ подтверждён реакцией канала: https://t.me/simple_quiz/570?comment=1715</x:v>
      </x:c>
      <x:c r="J145" s="6"/>
      <x:c r="K145" s="6" t="str">
        <x:v>Не оценена</x:v>
      </x:c>
      <x:c r="L145" s="7" t="str">
        <x:v>telegram_archive/media/post_0570_photo_01.jpg</x:v>
      </x:c>
      <x:c r="M145" s="7"/>
      <x:c r="N145" s="7" t="str">
        <x:v>https://t.me/simple_quiz/570</x:v>
      </x:c>
    </x:row>
    <x:row r="146">
      <x:c r="A146" s="6" t="n">
        <x:v>145</x:v>
      </x:c>
      <x:c r="B146" s="6" t="str">
        <x:v>TG</x:v>
      </x:c>
      <x:c r="C146" s="6" t="str">
        <x:v>Telegram-архив</x:v>
      </x:c>
      <x:c r="D146" s="6" t="n">
        <x:v>97</x:v>
      </x:c>
      <x:c r="E146" s="7" t="str">
        <x:v>Мария побеждала на чемпионатах мира, Европы и континентальных кубках и до замужества. Но олимпийское золото покорилось ей лишь тогда, когда ее муж прокомментировал ее выступление в эфире «Первого канала». Назовите актуальную фамилию Марии.</x:v>
      </x:c>
      <x:c r="F146" s="7" t="str">
        <x:v>Не опубликован в посте</x:v>
      </x:c>
      <x:c r="G146" s="7" t="str">
        <x:v>Не размечено</x:v>
      </x:c>
      <x:c r="H146" s="7" t="str">
        <x:v>Спорт / смешанное</x:v>
      </x:c>
      <x:c r="I146" s="7" t="str">
        <x:v>OCR из карточки; требуется редакторская проверка</x:v>
      </x:c>
      <x:c r="J146" s="6"/>
      <x:c r="K146" s="6" t="str">
        <x:v>Не оценена</x:v>
      </x:c>
      <x:c r="L146" s="7" t="str">
        <x:v>telegram_archive/media/post_0571_photo_01.jpg</x:v>
      </x:c>
      <x:c r="M146" s="7"/>
      <x:c r="N146" s="7" t="str">
        <x:v>https://t.me/simple_quiz/571</x:v>
      </x:c>
    </x:row>
    <x:row r="147">
      <x:c r="A147" s="6" t="n">
        <x:v>146</x:v>
      </x:c>
      <x:c r="B147" s="6" t="str">
        <x:v>TG</x:v>
      </x:c>
      <x:c r="C147" s="6" t="str">
        <x:v>Telegram-архив</x:v>
      </x:c>
      <x:c r="D147" s="6" t="n">
        <x:v>98</x:v>
      </x:c>
      <x:c r="E147" s="7" t="str">
        <x:v>50 Cent - 21 ИКС. Обладатель второго места конкурса комментаторов «России-2» в 2012 году - 50 ИКСОВ. Чему равен ИКС?</x:v>
      </x:c>
      <x:c r="F147" s="7" t="str">
        <x:v>Вопрос (question)</x:v>
      </x:c>
      <x:c r="G147" s="7" t="str">
        <x:v>Не размечено</x:v>
      </x:c>
      <x:c r="H147" s="7" t="str">
        <x:v>Спорт / смешанное</x:v>
      </x:c>
      <x:c r="I147" s="7" t="str">
        <x:v>Ответ подтверждён реакцией канала: https://t.me/simple_quiz/572?comment=1728</x:v>
      </x:c>
      <x:c r="J147" s="6"/>
      <x:c r="K147" s="6" t="str">
        <x:v>Не оценена</x:v>
      </x:c>
      <x:c r="L147" s="7" t="str">
        <x:v>telegram_archive/media/post_0572_photo_01.jpg</x:v>
      </x:c>
      <x:c r="M147" s="7"/>
      <x:c r="N147" s="7" t="str">
        <x:v>https://t.me/simple_quiz/572</x:v>
      </x:c>
    </x:row>
    <x:row r="148">
      <x:c r="A148" s="6" t="n">
        <x:v>147</x:v>
      </x:c>
      <x:c r="B148" s="6" t="str">
        <x:v>TG</x:v>
      </x:c>
      <x:c r="C148" s="6" t="str">
        <x:v>Telegram-архив</x:v>
      </x:c>
      <x:c r="D148" s="6" t="n">
        <x:v>99</x:v>
      </x:c>
      <x:c r="E148" s="7" t="str">
        <x:v>В пьесе «Двенадцатая ночь» Уильям Шекспир писал, что дурацкий колпак ПРОПУСК не портит. ПРОПУСК точно не испортил «Кливленд» в 2016 году, ведь команда стала чемпионом НБА. Восполните ПРОПУСК.</x:v>
      </x:c>
      <x:c r="F148" s="7" t="str">
        <x:v>Мозгов</x:v>
      </x:c>
      <x:c r="G148" s="7" t="str">
        <x:v>Не размечено</x:v>
      </x:c>
      <x:c r="H148" s="7" t="str">
        <x:v>Спорт / смешанное</x:v>
      </x:c>
      <x:c r="I148" s="7" t="str">
        <x:v>Ответ подтверждён реакцией канала: https://t.me/simple_quiz/587?comment=1781</x:v>
      </x:c>
      <x:c r="J148" s="6"/>
      <x:c r="K148" s="6" t="str">
        <x:v>Не оценена</x:v>
      </x:c>
      <x:c r="L148" s="7" t="str">
        <x:v>telegram_archive/media/post_0587_photo_01.jpg</x:v>
      </x:c>
      <x:c r="M148" s="7"/>
      <x:c r="N148" s="7" t="str">
        <x:v>https://t.me/simple_quiz/587</x:v>
      </x:c>
    </x:row>
    <x:row r="149">
      <x:c r="A149" s="6" t="n">
        <x:v>148</x:v>
      </x:c>
      <x:c r="B149" s="6" t="str">
        <x:v>TG</x:v>
      </x:c>
      <x:c r="C149" s="6" t="str">
        <x:v>Telegram-архив</x:v>
      </x:c>
      <x:c r="D149" s="6" t="n">
        <x:v>100</x:v>
      </x:c>
      <x:c r="E149" s="7" t="str">
        <x:v>Матч «Арсенала» и «Кристал Пэласа» 1 января 2017 года вызвал много шуток и реакций в соцсетях и на спортивных сайтах из-за ЕГО гола: русскоязычные фанаты футбола посчитали ЕГО гол довольно символичным. Кто забил гол в том матче?</x:v>
      </x:c>
      <x:c r="F149" s="7" t="str">
        <x:v>Оливье Жиру</x:v>
      </x:c>
      <x:c r="G149" s="7" t="str">
        <x:v>Не размечено</x:v>
      </x:c>
      <x:c r="H149" s="7" t="str">
        <x:v>Спорт / смешанное</x:v>
      </x:c>
      <x:c r="I149" s="7" t="str">
        <x:v>Ответ подтверждён реакцией канала: https://t.me/simple_quiz/588?comment=1793</x:v>
      </x:c>
      <x:c r="J149" s="6"/>
      <x:c r="K149" s="6" t="str">
        <x:v>Не оценена</x:v>
      </x:c>
      <x:c r="L149" s="7" t="str">
        <x:v>telegram_archive/media/post_0588_photo_01.jpg</x:v>
      </x:c>
      <x:c r="M149" s="7"/>
      <x:c r="N149" s="7" t="str">
        <x:v>https://t.me/simple_quiz/588</x:v>
      </x:c>
    </x:row>
    <x:row r="150">
      <x:c r="A150" s="6" t="n">
        <x:v>149</x:v>
      </x:c>
      <x:c r="B150" s="6" t="str">
        <x:v>TG</x:v>
      </x:c>
      <x:c r="C150" s="6" t="str">
        <x:v>Telegram-архив</x:v>
      </x:c>
      <x:c r="D150" s="6" t="n">
        <x:v>101</x:v>
      </x:c>
      <x:c r="E150" s="7" t="str">
        <x:v>ОН на английском - бывший футболист, забивавший за «Лацио» и «Рейнджерс». ОН на русском - главный герой мультфильма «Пес в сапогах». Назовите ЕГО по-английски или по-русски.</x:v>
      </x:c>
      <x:c r="F150" s="7" t="str">
        <x:v>Gascoigne / Гасконец</x:v>
      </x:c>
      <x:c r="G150" s="7" t="str">
        <x:v>Не размечено</x:v>
      </x:c>
      <x:c r="H150" s="7" t="str">
        <x:v>Спорт / смешанное</x:v>
      </x:c>
      <x:c r="I150" s="7" t="str">
        <x:v>Ответ подтверждён реакцией канала: https://t.me/simple_quiz/589?comment=1796</x:v>
      </x:c>
      <x:c r="J150" s="6"/>
      <x:c r="K150" s="6" t="str">
        <x:v>Не оценена</x:v>
      </x:c>
      <x:c r="L150" s="7" t="str">
        <x:v>telegram_archive/media/post_0589_photo_01.jpg</x:v>
      </x:c>
      <x:c r="M150" s="7"/>
      <x:c r="N150" s="7" t="str">
        <x:v>https://t.me/simple_quiz/589</x:v>
      </x:c>
    </x:row>
    <x:row r="151">
      <x:c r="A151" s="6" t="n">
        <x:v>150</x:v>
      </x:c>
      <x:c r="B151" s="6" t="str">
        <x:v>TG</x:v>
      </x:c>
      <x:c r="C151" s="6" t="str">
        <x:v>Telegram-архив</x:v>
      </x:c>
      <x:c r="D151" s="6" t="n">
        <x:v>102</x:v>
      </x:c>
      <x:c r="E151" s="7" t="str">
        <x:v>Жительница Манилы четыре года молилась статуэтке ИКСА, ошибочно думая, что это Хотэй - популярное в китайской культуре божество счастья, благополучия, веселья и общения. Ее смутил большой живот статуэтки. ИКС — прозвище футболиста, который по завершении карьеры потренировал клубы из Вашингтона, Плимута, Бирмингема и Дерби. Назовите ИКС.</x:v>
      </x:c>
      <x:c r="F151" s="7" t="str">
        <x:v>Шрек</x:v>
      </x:c>
      <x:c r="G151" s="7" t="str">
        <x:v>Не размечено</x:v>
      </x:c>
      <x:c r="H151" s="7" t="str">
        <x:v>Спорт / смешанное</x:v>
      </x:c>
      <x:c r="I151" s="7" t="str">
        <x:v>Ответ подтверждён реакцией канала: https://t.me/simple_quiz/594?comment=1806</x:v>
      </x:c>
      <x:c r="J151" s="6"/>
      <x:c r="K151" s="6" t="str">
        <x:v>Не оценена</x:v>
      </x:c>
      <x:c r="L151" s="7" t="str">
        <x:v>telegram_archive/media/post_0594_photo_01.jpg</x:v>
      </x:c>
      <x:c r="M151" s="7"/>
      <x:c r="N151" s="7" t="str">
        <x:v>https://t.me/simple_quiz/594</x:v>
      </x:c>
    </x:row>
    <x:row r="152">
      <x:c r="A152" s="6" t="n">
        <x:v>151</x:v>
      </x:c>
      <x:c r="B152" s="6" t="str">
        <x:v>TG</x:v>
      </x:c>
      <x:c r="C152" s="6" t="str">
        <x:v>Telegram-архив</x:v>
      </x:c>
      <x:c r="D152" s="6" t="n">
        <x:v>103</x:v>
      </x:c>
      <x:c r="E152" s="7" t="str">
        <x:v>На альбоме «Пиры и раны» группы «Кровосток» есть песна «ЗАМЕНА». ЗАМЕНА состоит из двух глаголов, которые образуют фразу, используемую для ироничного описания тактики некоторых футбольных команд. ЗАМЕНА - правда, с чуть измененной орфографией, — название ныне несуществующей медиафутбольной команды. Воспроизведите ЗАМЕНУ.</x:v>
      </x:c>
      <x:c r="F152" s="7" t="str">
        <x:v>Бей-беги</x:v>
      </x:c>
      <x:c r="G152" s="7" t="str">
        <x:v>Не размечено</x:v>
      </x:c>
      <x:c r="H152" s="7" t="str">
        <x:v>Спорт / смешанное</x:v>
      </x:c>
      <x:c r="I152" s="7" t="str">
        <x:v>Ответ подтверждён реакцией канала: https://t.me/simple_quiz/601?comment=1828</x:v>
      </x:c>
      <x:c r="J152" s="6"/>
      <x:c r="K152" s="6" t="str">
        <x:v>Не оценена</x:v>
      </x:c>
      <x:c r="L152" s="7" t="str">
        <x:v>telegram_archive/media/post_0601_photo_01.jpg</x:v>
      </x:c>
      <x:c r="M152" s="7"/>
      <x:c r="N152" s="7" t="str">
        <x:v>https://t.me/simple_quiz/601</x:v>
      </x:c>
    </x:row>
    <x:row r="153">
      <x:c r="A153" s="6" t="n">
        <x:v>152</x:v>
      </x:c>
      <x:c r="B153" s="6" t="str">
        <x:v>TG</x:v>
      </x:c>
      <x:c r="C153" s="6" t="str">
        <x:v>Telegram-архив</x:v>
      </x:c>
      <x:c r="D153" s="6" t="n">
        <x:v>104</x:v>
      </x:c>
      <x:c r="E153" s="7" t="str">
        <x:v>Сайт 9meters подсчитал, что в мире живет 2700 ТАКИХ людей. 33 из 2700 ТАКИХ людей играют в НБА. ТАКИЕ - составное прилагательное, причем второй корень очень редко используется в России и часто — в США. Что мы зашифровали под ТАКИМИ?</x:v>
      </x:c>
      <x:c r="F153" s="7" t="str">
        <x:v>Семифутеры</x:v>
      </x:c>
      <x:c r="G153" s="7" t="str">
        <x:v>Не размечено</x:v>
      </x:c>
      <x:c r="H153" s="7" t="str">
        <x:v>Спорт / смешанное</x:v>
      </x:c>
      <x:c r="I153" s="7" t="str">
        <x:v>Ответ подтверждён реакцией канала: https://t.me/simple_quiz/604?comment=1835</x:v>
      </x:c>
      <x:c r="J153" s="6"/>
      <x:c r="K153" s="6" t="str">
        <x:v>Не оценена</x:v>
      </x:c>
      <x:c r="L153" s="7" t="str">
        <x:v>telegram_archive/media/post_0604_photo_01.jpg</x:v>
      </x:c>
      <x:c r="M153" s="7"/>
      <x:c r="N153" s="7" t="str">
        <x:v>https://t.me/simple_quiz/604</x:v>
      </x:c>
    </x:row>
    <x:row r="154">
      <x:c r="A154" s="6" t="n">
        <x:v>153</x:v>
      </x:c>
      <x:c r="B154" s="6" t="str">
        <x:v>TG</x:v>
      </x:c>
      <x:c r="C154" s="6" t="str">
        <x:v>Telegram-архив</x:v>
      </x:c>
      <x:c r="D154" s="6" t="n">
        <x:v>105</x:v>
      </x:c>
      <x:c r="E154" s="7" t="str">
        <x:v>АЛЬФОЙ в славянской мифологии называли духа умершего человека в облике женщины. Известная вам АЛЬФА - олимпийская чемпионка, которая сначала вышла замуж за тренера, а затем — за человека, в честь отличительной особенности которого назвали либеральное микромедиа. Назовите АЛЬФУ.</x:v>
      </x:c>
      <x:c r="F154" s="7" t="str">
        <x:v>Навка</x:v>
      </x:c>
      <x:c r="G154" s="7" t="str">
        <x:v>Не размечено</x:v>
      </x:c>
      <x:c r="H154" s="7" t="str">
        <x:v>Спорт / смешанное</x:v>
      </x:c>
      <x:c r="I154" s="7" t="str">
        <x:v>Ответ подтверждён реакцией канала: https://t.me/simple_quiz/607?comment=1843</x:v>
      </x:c>
      <x:c r="J154" s="6"/>
      <x:c r="K154" s="6" t="str">
        <x:v>Не оценена</x:v>
      </x:c>
      <x:c r="L154" s="7" t="str">
        <x:v>telegram_archive/media/post_0607_photo_01.jpg</x:v>
      </x:c>
      <x:c r="M154" s="7"/>
      <x:c r="N154" s="7" t="str">
        <x:v>https://t.me/simple_quiz/607</x:v>
      </x:c>
    </x:row>
    <x:row r="155">
      <x:c r="A155" s="6" t="n">
        <x:v>154</x:v>
      </x:c>
      <x:c r="B155" s="6" t="str">
        <x:v>TG</x:v>
      </x:c>
      <x:c r="C155" s="6" t="str">
        <x:v>Telegram-архив</x:v>
      </x:c>
      <x:c r="D155" s="6" t="n">
        <x:v>106</x:v>
      </x:c>
      <x:c r="E155" s="7" t="str">
        <x:v>Поговорим о маршрутах. Из «Селтикс» в «Суперсоникс» - 90. Из «Селтикс» в «Уорриорз» - 80. Из «Уизардс» в «Уорриорз» - 50. Число, которое соответствует маршруту Пау Газоля в 2014-м, вы прекрасно знаете: ему посвящено много отсылок в поп-культуре. Назовите его.</x:v>
      </x:c>
      <x:c r="F155" s="7" t="str">
        <x:v>Route 66</x:v>
      </x:c>
      <x:c r="G155" s="7" t="str">
        <x:v>Не размечено</x:v>
      </x:c>
      <x:c r="H155" s="7" t="str">
        <x:v>Спорт / смешанное</x:v>
      </x:c>
      <x:c r="I155" s="7" t="str">
        <x:v>Ответ подтверждён реакцией канала: https://t.me/simple_quiz/611?comment=1858</x:v>
      </x:c>
      <x:c r="J155" s="6"/>
      <x:c r="K155" s="6" t="str">
        <x:v>Не оценена</x:v>
      </x:c>
      <x:c r="L155" s="7" t="str">
        <x:v>telegram_archive/media/post_0611_photo_01.jpg</x:v>
      </x:c>
      <x:c r="M155" s="7"/>
      <x:c r="N155" s="7" t="str">
        <x:v>https://t.me/simple_quiz/611</x:v>
      </x:c>
    </x:row>
    <x:row r="156">
      <x:c r="A156" s="6" t="n">
        <x:v>155</x:v>
      </x:c>
      <x:c r="B156" s="6" t="str">
        <x:v>TG</x:v>
      </x:c>
      <x:c r="C156" s="6" t="str">
        <x:v>Telegram-архив</x:v>
      </x:c>
      <x:c r="D156" s="6" t="n">
        <x:v>107</x:v>
      </x:c>
      <x:c r="E156" s="7" t="str">
        <x:v>Если бы популярный российский блогер получил прозвище, потому что он EE сын, это было бы намного более логично. Но нет: несмотря на совпадение фамилий, он не состоит с НЕЙ в родственных связях. ОНА завоевала серебряную медаль на ОИ в Сиднее и сразу две медали - золото и бронзу - в Афинах. Назовите EE имя и фамилию.</x:v>
      </x:c>
      <x:c r="F156" s="7" t="str">
        <x:v>Татьяна Лебедева</x:v>
      </x:c>
      <x:c r="G156" s="7" t="str">
        <x:v>Не размечено</x:v>
      </x:c>
      <x:c r="H156" s="7" t="str">
        <x:v>Спорт / смешанное</x:v>
      </x:c>
      <x:c r="I156" s="7" t="str">
        <x:v>Ответ подтверждён реакцией канала: https://t.me/simple_quiz/613?comment=1860</x:v>
      </x:c>
      <x:c r="J156" s="6"/>
      <x:c r="K156" s="6" t="str">
        <x:v>Не оценена</x:v>
      </x:c>
      <x:c r="L156" s="7" t="str">
        <x:v>telegram_archive/media/post_0613_photo_01.jpg</x:v>
      </x:c>
      <x:c r="M156" s="7"/>
      <x:c r="N156" s="7" t="str">
        <x:v>https://t.me/simple_quiz/613</x:v>
      </x:c>
    </x:row>
    <x:row r="157">
      <x:c r="A157" s="6" t="n">
        <x:v>156</x:v>
      </x:c>
      <x:c r="B157" s="6" t="str">
        <x:v>TG</x:v>
      </x:c>
      <x:c r="C157" s="6" t="str">
        <x:v>Telegram-архив</x:v>
      </x:c>
      <x:c r="D157" s="6" t="n">
        <x:v>108</x:v>
      </x:c>
      <x:c r="E157" s="7" t="str">
        <x:v>Один ОН - французский автогонщик, девятикратный чемпион мира. Другой ОН - немецкий автогонщик, четырехкратный чемпион мира. Было бы символично, если бы и первый, и второй ОН одержали победы в одном испанском городе, но гонки, в которых они принимали участие, в нем не проходили. Назовите ЕГО.</x:v>
      </x:c>
      <x:c r="F157" s="7" t="str">
        <x:v>Сан-Себастьян</x:v>
      </x:c>
      <x:c r="G157" s="7" t="str">
        <x:v>Не размечено</x:v>
      </x:c>
      <x:c r="H157" s="7" t="str">
        <x:v>Спорт / смешанное</x:v>
      </x:c>
      <x:c r="I157" s="7" t="str">
        <x:v>Ответ подтверждён реакцией канала: https://t.me/simple_quiz/617?comment=1870</x:v>
      </x:c>
      <x:c r="J157" s="6"/>
      <x:c r="K157" s="6" t="str">
        <x:v>Не оценена</x:v>
      </x:c>
      <x:c r="L157" s="7" t="str">
        <x:v>telegram_archive/media/post_0617_photo_01.jpg</x:v>
      </x:c>
      <x:c r="M157" s="7"/>
      <x:c r="N157" s="7" t="str">
        <x:v>https://t.me/simple_quiz/617</x:v>
      </x:c>
    </x:row>
    <x:row r="158">
      <x:c r="A158" s="6" t="n">
        <x:v>157</x:v>
      </x:c>
      <x:c r="B158" s="6" t="str">
        <x:v>TG</x:v>
      </x:c>
      <x:c r="C158" s="6" t="str">
        <x:v>Telegram-архив</x:v>
      </x:c>
      <x:c r="D158" s="6" t="n">
        <x:v>109</x:v>
      </x:c>
      <x:c r="E158" s="7" t="str">
        <x:v>1988, 1992, 1996, 2000 - ПЕРВЫЕ. 1988, 1992, 1994, 1998 —- ВТОРЫЕ. Назовите ПЕРВЫЕ и ВТОРЫЕ.</x:v>
      </x:c>
      <x:c r="F158" s="7" t="str">
        <x:v>Летние и зимние Олимпийские игры</x:v>
      </x:c>
      <x:c r="G158" s="7" t="str">
        <x:v>Не размечено</x:v>
      </x:c>
      <x:c r="H158" s="7" t="str">
        <x:v>Спорт / смешанное</x:v>
      </x:c>
      <x:c r="I158" s="7" t="str">
        <x:v>Ответ подтверждён реакцией канала: https://t.me/simple_quiz/618?comment=1874</x:v>
      </x:c>
      <x:c r="J158" s="6"/>
      <x:c r="K158" s="6" t="str">
        <x:v>Не оценена</x:v>
      </x:c>
      <x:c r="L158" s="7" t="str">
        <x:v>telegram_archive/media/post_0618_photo_01.jpg</x:v>
      </x:c>
      <x:c r="M158" s="7"/>
      <x:c r="N158" s="7" t="str">
        <x:v>https://t.me/simple_quiz/618</x:v>
      </x:c>
    </x:row>
    <x:row r="159">
      <x:c r="A159" s="6" t="n">
        <x:v>158</x:v>
      </x:c>
      <x:c r="B159" s="6" t="str">
        <x:v>TG</x:v>
      </x:c>
      <x:c r="C159" s="6" t="str">
        <x:v>Telegram-архив</x:v>
      </x:c>
      <x:c r="D159" s="6" t="n">
        <x:v>110</x:v>
      </x:c>
      <x:c r="E159" s="7" t="str">
        <x:v>«Манчестер Сити», «Интер», «Лилль», «Бавария», «Атлетико» - все эти клубы объединяет трек FRIENDLY THUG 52 МСС с альбома «Graf Monte-Cristo/Most Valuable Pirate». Воспроизведите название этого трека.</x:v>
      </x:c>
      <x:c r="F159" s="7" t="str">
        <x:v>2021</x:v>
      </x:c>
      <x:c r="G159" s="7" t="str">
        <x:v>Не размечено</x:v>
      </x:c>
      <x:c r="H159" s="7" t="str">
        <x:v>Спорт / смешанное</x:v>
      </x:c>
      <x:c r="I159" s="7" t="str">
        <x:v>Ответ подтверждён реакцией канала: https://t.me/simple_quiz/620?comment=1884</x:v>
      </x:c>
      <x:c r="J159" s="6"/>
      <x:c r="K159" s="6" t="str">
        <x:v>Не оценена</x:v>
      </x:c>
      <x:c r="L159" s="7" t="str">
        <x:v>telegram_archive/media/post_0620_photo_01.jpg</x:v>
      </x:c>
      <x:c r="M159" s="7"/>
      <x:c r="N159" s="7" t="str">
        <x:v>https://t.me/simple_quiz/620</x:v>
      </x:c>
    </x:row>
    <x:row r="160">
      <x:c r="A160" s="6" t="n">
        <x:v>159</x:v>
      </x:c>
      <x:c r="B160" s="6" t="str">
        <x:v>TG</x:v>
      </x:c>
      <x:c r="C160" s="6" t="str">
        <x:v>Telegram-архив</x:v>
      </x:c>
      <x:c r="D160" s="6" t="n">
        <x:v>111</x:v>
      </x:c>
      <x:c r="E160" s="7" t="str">
        <x:v>В интернете можно найти победителей ЭТОГО турнира с 1949 года. Вот некоторые из них. 2025 - Джексон Шторм. 2024 - Пол Корнев. 2023 - Райан Лэйни. 2022 - Тим Тредлесс. 2021 - Круз Рамирес. 2020 - Чейз Рейселотт. В 2006, 2007, 2009, 2010, 2011, 2012 и 2015 годах победителем становился рекордсмен, которому даже посвятили серию фильмов. Назовите турнир, о котором идет речь.</x:v>
      </x:c>
      <x:c r="F160" s="7" t="str">
        <x:v>Кубок Поршня</x:v>
      </x:c>
      <x:c r="G160" s="7" t="str">
        <x:v>Не размечено</x:v>
      </x:c>
      <x:c r="H160" s="7" t="str">
        <x:v>Спорт / смешанное</x:v>
      </x:c>
      <x:c r="I160" s="7" t="str">
        <x:v>Ответ подтверждён реакцией канала: https://t.me/simple_quiz/623?comment=1890</x:v>
      </x:c>
      <x:c r="J160" s="6"/>
      <x:c r="K160" s="6" t="str">
        <x:v>Не оценена</x:v>
      </x:c>
      <x:c r="L160" s="7" t="str">
        <x:v>telegram_archive/media/post_0623_photo_01.jpg</x:v>
      </x:c>
      <x:c r="M160" s="7"/>
      <x:c r="N160" s="7" t="str">
        <x:v>https://t.me/simple_quiz/623</x:v>
      </x:c>
    </x:row>
    <x:row r="161">
      <x:c r="A161" s="6" t="n">
        <x:v>160</x:v>
      </x:c>
      <x:c r="B161" s="6" t="str">
        <x:v>TG</x:v>
      </x:c>
      <x:c r="C161" s="6" t="str">
        <x:v>Telegram-архив</x:v>
      </x:c>
      <x:c r="D161" s="6" t="n">
        <x:v>112</x:v>
      </x:c>
      <x:c r="E161" s="7" t="str">
        <x:v>В английском языке для того, чтобы превратить фамилию главного героя культового сериала в фамилию члена Зала славы снукера, необходимо убрать согласную букву. В русском языке для того, чтобы превратить фамилию главного героя культового сериала в фамилию члена Зала славы снукера, необходимо заменить согласную букву. Назовите члена Зала славы снукера, о котором идет речь.</x:v>
      </x:c>
      <x:c r="F161" s="7" t="str">
        <x:v>Марк Селби</x:v>
      </x:c>
      <x:c r="G161" s="7" t="str">
        <x:v>Не размечено</x:v>
      </x:c>
      <x:c r="H161" s="7" t="str">
        <x:v>Спорт / смешанное</x:v>
      </x:c>
      <x:c r="I161" s="7" t="str">
        <x:v>Ответ подтверждён реакцией канала: https://t.me/simple_quiz/624?comment=1896</x:v>
      </x:c>
      <x:c r="J161" s="6"/>
      <x:c r="K161" s="6" t="str">
        <x:v>Не оценена</x:v>
      </x:c>
      <x:c r="L161" s="7" t="str">
        <x:v>telegram_archive/media/post_0624_photo_01.jpg</x:v>
      </x:c>
      <x:c r="M161" s="7"/>
      <x:c r="N161" s="7" t="str">
        <x:v>https://t.me/simple_quiz/624</x:v>
      </x:c>
    </x:row>
    <x:row r="162">
      <x:c r="A162" s="6" t="n">
        <x:v>161</x:v>
      </x:c>
      <x:c r="B162" s="6" t="str">
        <x:v>TG</x:v>
      </x:c>
      <x:c r="C162" s="6" t="str">
        <x:v>Telegram-архив</x:v>
      </x:c>
      <x:c r="D162" s="6" t="n">
        <x:v>113</x:v>
      </x:c>
      <x:c r="E162" s="7" t="str">
        <x:v>Обидно, что в «Орландо» нет футболиста по имени и фамилии Эйбел - они бы составили потрясающую, чуть ли не братскую связку с другим игроком «Мэджик». Назовите фамилию этого игрока - или ее русскоязычный аналог.</x:v>
      </x:c>
      <x:c r="F162" s="7" t="str">
        <x:v>Каин</x:v>
      </x:c>
      <x:c r="G162" s="7" t="str">
        <x:v>Не размечено</x:v>
      </x:c>
      <x:c r="H162" s="7" t="str">
        <x:v>Спорт / смешанное</x:v>
      </x:c>
      <x:c r="I162" s="7" t="str">
        <x:v>Ответ подтверждён реакцией канала: https://t.me/simple_quiz/625?comment=1898</x:v>
      </x:c>
      <x:c r="J162" s="6"/>
      <x:c r="K162" s="6" t="str">
        <x:v>Не оценена</x:v>
      </x:c>
      <x:c r="L162" s="7" t="str">
        <x:v>telegram_archive/media/post_0625_photo_01.jpg</x:v>
      </x:c>
      <x:c r="M162" s="7"/>
      <x:c r="N162" s="7" t="str">
        <x:v>https://t.me/simple_quiz/625</x:v>
      </x:c>
    </x:row>
    <x:row r="163">
      <x:c r="A163" s="6" t="n">
        <x:v>162</x:v>
      </x:c>
      <x:c r="B163" s="6" t="str">
        <x:v>TG</x:v>
      </x:c>
      <x:c r="C163" s="6" t="str">
        <x:v>Telegram-архив</x:v>
      </x:c>
      <x:c r="D163" s="6" t="n">
        <x:v>114</x:v>
      </x:c>
      <x:c r="E163" s="7" t="str">
        <x:v>Баскетболист «Никс» Карл-Энтони Таунс приехал на Матч звезд НБА в бомбере, на спине которого был изображен христианский святой в узнаваемом образе. Согласно житию этого святого, он родился в Каппадокии. А его изображение вы точно видели много раз. Возможно, вам помогут догадаться, где оно вам встречалось, числа 1, 5, 10 и 50. Назовите этого святого двумя словами.</x:v>
      </x:c>
      <x:c r="F163" s="7" t="str">
        <x:v>Георгий Победоносец</x:v>
      </x:c>
      <x:c r="G163" s="7" t="str">
        <x:v>Не размечено</x:v>
      </x:c>
      <x:c r="H163" s="7" t="str">
        <x:v>Спорт / смешанное</x:v>
      </x:c>
      <x:c r="I163" s="7" t="str">
        <x:v>Ответ подтверждён реакцией канала: https://t.me/simple_quiz/628?comment=1908</x:v>
      </x:c>
      <x:c r="J163" s="6"/>
      <x:c r="K163" s="6" t="str">
        <x:v>Не оценена</x:v>
      </x:c>
      <x:c r="L163" s="7" t="str">
        <x:v>telegram_archive/media/post_0628_photo_01.jpg</x:v>
      </x:c>
      <x:c r="M163" s="7"/>
      <x:c r="N163" s="7" t="str">
        <x:v>https://t.me/simple_quiz/628</x:v>
      </x:c>
    </x:row>
    <x:row r="164">
      <x:c r="A164" s="6" t="n">
        <x:v>163</x:v>
      </x:c>
      <x:c r="B164" s="6" t="str">
        <x:v>TG</x:v>
      </x:c>
      <x:c r="C164" s="6" t="str">
        <x:v>Telegram-архив</x:v>
      </x:c>
      <x:c r="D164" s="6" t="n">
        <x:v>115</x:v>
      </x:c>
      <x:c r="E164" s="7" t="str">
        <x:v>В 2021 году Леонид Слуцкий сделал ЕЕ: он рассказал об этом Ксении Собчак на ее УочТиБе-канале. С 2022 года многие россияне начали намного чаще делать EE, если хотят посетить страны Европы, Азии и Америки. Назовите EE тремя словами.</x:v>
      </x:c>
      <x:c r="F164" s="7" t="str">
        <x:v>Пересадка в Турции</x:v>
      </x:c>
      <x:c r="G164" s="7" t="str">
        <x:v>Не размечено</x:v>
      </x:c>
      <x:c r="H164" s="7" t="str">
        <x:v>Спорт / смешанное</x:v>
      </x:c>
      <x:c r="I164" s="7" t="str">
        <x:v>Ответ подтверждён реакцией канала: https://t.me/simple_quiz/664?comment=1977</x:v>
      </x:c>
      <x:c r="J164" s="6"/>
      <x:c r="K164" s="6" t="str">
        <x:v>Не оценена</x:v>
      </x:c>
      <x:c r="L164" s="7" t="str">
        <x:v>telegram_archive/media/post_0664_photo_01.jpg</x:v>
      </x:c>
      <x:c r="M164" s="7"/>
      <x:c r="N164" s="7" t="str">
        <x:v>https://t.me/simple_quiz/664</x:v>
      </x:c>
    </x:row>
    <x:row r="165">
      <x:c r="A165" s="6" t="n">
        <x:v>164</x:v>
      </x:c>
      <x:c r="B165" s="6" t="str">
        <x:v>TG</x:v>
      </x:c>
      <x:c r="C165" s="6" t="str">
        <x:v>Telegram-архив</x:v>
      </x:c>
      <x:c r="D165" s="6" t="n">
        <x:v>116</x:v>
      </x:c>
      <x:c r="E165" s="7" t="str">
        <x:v>Один из экспертов по русскому футболу дал такую характеристику 20-летнему форварду «Уфы» и воспитаннику одного из топ-клубов РПЛ Алексею Барановскому: «Он наглый пацан, который хорошо умеет играть в футбол. Говорю ему: все отлично, кроме фамилии». Назовите эксперта, который дал эту характеристику.</x:v>
      </x:c>
      <x:c r="F165" s="7" t="str">
        <x:v>Андрей Аршавин</x:v>
      </x:c>
      <x:c r="G165" s="7" t="str">
        <x:v>Не размечено</x:v>
      </x:c>
      <x:c r="H165" s="7" t="str">
        <x:v>Спорт / смешанное</x:v>
      </x:c>
      <x:c r="I165" s="7" t="str">
        <x:v>Ответ подтверждён реакцией канала: https://t.me/simple_quiz/669?comment=2000</x:v>
      </x:c>
      <x:c r="J165" s="6"/>
      <x:c r="K165" s="6" t="str">
        <x:v>Не оценена</x:v>
      </x:c>
      <x:c r="L165" s="7" t="str">
        <x:v>telegram_archive/media/post_0669_photo_01.jpg</x:v>
      </x:c>
      <x:c r="M165" s="7"/>
      <x:c r="N165" s="7" t="str">
        <x:v>https://t.me/simple_quiz/669</x:v>
      </x:c>
    </x:row>
    <x:row r="166">
      <x:c r="A166" s="6" t="n">
        <x:v>165</x:v>
      </x:c>
      <x:c r="B166" s="6" t="str">
        <x:v>TG</x:v>
      </x:c>
      <x:c r="C166" s="6" t="str">
        <x:v>Telegram-архив</x:v>
      </x:c>
      <x:c r="D166" s="6" t="n">
        <x:v>117</x:v>
      </x:c>
      <x:c r="E166" s="7" t="str">
        <x:v>Перед вами фрагмент постера, со Ма та посвященного одному =. м. ее спортивному событию. Горы, rh. которые стали частью Ч 4 а композиции, мы скрыли. AS ; Мы He спрашиваем вас, что А . это за событие - напишите, в 12 форме чего выполнен силуэт Ni города на этом постере. (5 R E</x:v>
      </x:c>
      <x:c r="F166" s="7" t="str">
        <x:v>Олимпийский факел</x:v>
      </x:c>
      <x:c r="G166" s="7" t="str">
        <x:v>Не размечено</x:v>
      </x:c>
      <x:c r="H166" s="7" t="str">
        <x:v>Спорт / смешанное</x:v>
      </x:c>
      <x:c r="I166" s="7" t="str">
        <x:v>Ответ подтверждён реакцией канала: https://t.me/simple_quiz/682?comment=2023</x:v>
      </x:c>
      <x:c r="J166" s="6"/>
      <x:c r="K166" s="6" t="str">
        <x:v>Не оценена</x:v>
      </x:c>
      <x:c r="L166" s="7" t="str">
        <x:v>telegram_archive/media/post_0682_photo_01.jpg</x:v>
      </x:c>
      <x:c r="M166" s="7"/>
      <x:c r="N166" s="7" t="str">
        <x:v>https://t.me/simple_quiz/682</x:v>
      </x:c>
    </x:row>
    <x:row r="167">
      <x:c r="A167" s="6" t="n">
        <x:v>166</x:v>
      </x:c>
      <x:c r="B167" s="6" t="str">
        <x:v>TG</x:v>
      </x:c>
      <x:c r="C167" s="6" t="str">
        <x:v>Telegram-архив</x:v>
      </x:c>
      <x:c r="D167" s="6" t="n">
        <x:v>118</x:v>
      </x:c>
      <x:c r="E167" s="7" t="str">
        <x:v>Обратная ОНА была распространенным приемом в византийской и древнерусской иконописи. Когда речь идет о талантливых спортсменах, часто говорят о НЕЙ и называют ТАКИМИ - прилагательным, образованным от слова ОНА. Правда, чем старше спортсмен, тем реже мы говорим о том, что он - ТАКОЙ. Даи ИХ у него становится меньше. Назовите EE.</x:v>
      </x:c>
      <x:c r="F167" s="7" t="str">
        <x:v>Перспектива</x:v>
      </x:c>
      <x:c r="G167" s="7" t="str">
        <x:v>Не размечено</x:v>
      </x:c>
      <x:c r="H167" s="7" t="str">
        <x:v>Спорт / смешанное</x:v>
      </x:c>
      <x:c r="I167" s="7" t="str">
        <x:v>Ответ подтверждён реакцией канала: https://t.me/simple_quiz/684?comment=2026</x:v>
      </x:c>
      <x:c r="J167" s="6"/>
      <x:c r="K167" s="6" t="str">
        <x:v>Не оценена</x:v>
      </x:c>
      <x:c r="L167" s="7" t="str">
        <x:v>telegram_archive/media/post_0684_photo_01.jpg</x:v>
      </x:c>
      <x:c r="M167" s="7"/>
      <x:c r="N167" s="7" t="str">
        <x:v>https://t.me/simple_quiz/684</x:v>
      </x:c>
    </x:row>
    <x:row r="168">
      <x:c r="A168" s="6" t="n">
        <x:v>167</x:v>
      </x:c>
      <x:c r="B168" s="6" t="str">
        <x:v>TG</x:v>
      </x:c>
      <x:c r="C168" s="6" t="str">
        <x:v>Telegram-архив</x:v>
      </x:c>
      <x:c r="D168" s="6" t="n">
        <x:v>119</x:v>
      </x:c>
      <x:c r="E168" s="7" t="str">
        <x:v>Если бы мы были корейцами, то этой парой стран для нас были бы Гана и Венгрия. Если бы мы были англичанами, то этой парой стран для нас были бы Афганистан и Зимбабве. Для казахстанцев этой парой стран являются Албания и Ямайка. А для россиян - две страны-участницы чемпионата мира-2026. Назовите эти две страны.</x:v>
      </x:c>
      <x:c r="F168" s="7" t="str">
        <x:v>Не опубликован в посте</x:v>
      </x:c>
      <x:c r="G168" s="7" t="str">
        <x:v>Не размечено</x:v>
      </x:c>
      <x:c r="H168" s="7" t="str">
        <x:v>Спорт / смешанное</x:v>
      </x:c>
      <x:c r="I168" s="7" t="str">
        <x:v>OCR из карточки; требуется редакторская проверка</x:v>
      </x:c>
      <x:c r="J168" s="6"/>
      <x:c r="K168" s="6" t="str">
        <x:v>Не оценена</x:v>
      </x:c>
      <x:c r="L168" s="7" t="str">
        <x:v>telegram_archive/media/post_0716_photo_01.jpg</x:v>
      </x:c>
      <x:c r="M168" s="7"/>
      <x:c r="N168" s="7" t="str">
        <x:v>https://t.me/simple_quiz/716</x:v>
      </x:c>
    </x:row>
    <x:row r="169">
      <x:c r="A169" s="6" t="n">
        <x:v>168</x:v>
      </x:c>
      <x:c r="B169" s="6" t="str">
        <x:v>TG</x:v>
      </x:c>
      <x:c r="C169" s="6" t="str">
        <x:v>Telegram-архив</x:v>
      </x:c>
      <x:c r="D169" s="6" t="n">
        <x:v>120</x:v>
      </x:c>
      <x:c r="E169" s="7" t="str">
        <x:v>Несмотря на то, что эта европейская страна не попала на чемпионат мира по футболу, ее англоязычное название можно было увидеть во время трансляций как минимум восьми матчей ЧМ-2026. Назовите эту европейскую страну.</x:v>
      </x:c>
      <x:c r="F169" s="7" t="str">
        <x:v>Грузия</x:v>
      </x:c>
      <x:c r="G169" s="7" t="str">
        <x:v>Не размечено</x:v>
      </x:c>
      <x:c r="H169" s="7" t="str">
        <x:v>Спорт / смешанное</x:v>
      </x:c>
      <x:c r="I169" s="7" t="str">
        <x:v>Ответ подтверждён реакцией канала: https://t.me/simple_quiz/717?comment=2103</x:v>
      </x:c>
      <x:c r="J169" s="6"/>
      <x:c r="K169" s="6" t="str">
        <x:v>Не оценена</x:v>
      </x:c>
      <x:c r="L169" s="7" t="str">
        <x:v>telegram_archive/media/post_0717_photo_01.jpg</x:v>
      </x:c>
      <x:c r="M169" s="7"/>
      <x:c r="N169" s="7" t="str">
        <x:v>https://t.me/simple_quiz/717</x:v>
      </x:c>
    </x:row>
    <x:row r="170">
      <x:c r="A170" s="6" t="n">
        <x:v>169</x:v>
      </x:c>
      <x:c r="B170" s="6" t="str">
        <x:v>TG</x:v>
      </x:c>
      <x:c r="C170" s="6" t="str">
        <x:v>Telegram-архив</x:v>
      </x:c>
      <x:c r="D170" s="6" t="n">
        <x:v>121</x:v>
      </x:c>
      <x:c r="E170" s="7" t="str">
        <x:v>В 2006 году на платформе PSP вышла игра, где основной механикой был наклон планеты. Первая часть названия - испанское слово, которое совпадает с прозвищем тренера, не вышедшего вместе со сборной из группы на ЧМ-2026. Назовите фамилию этого тренера.</x:v>
      </x:c>
      <x:c r="F170" s="7" t="str">
        <x:v>Марсело Бьельса</x:v>
      </x:c>
      <x:c r="G170" s="7" t="str">
        <x:v>Не размечено</x:v>
      </x:c>
      <x:c r="H170" s="7" t="str">
        <x:v>Спорт / смешанное</x:v>
      </x:c>
      <x:c r="I170" s="7" t="str">
        <x:v>Ответ подтверждён реакцией канала: https://t.me/simple_quiz/718?comment=2108</x:v>
      </x:c>
      <x:c r="J170" s="6"/>
      <x:c r="K170" s="6" t="str">
        <x:v>Не оценена</x:v>
      </x:c>
      <x:c r="L170" s="7" t="str">
        <x:v>telegram_archive/media/post_0718_photo_01.jpg</x:v>
      </x:c>
      <x:c r="M170" s="7"/>
      <x:c r="N170" s="7" t="str">
        <x:v>https://t.me/simple_quiz/718</x:v>
      </x:c>
    </x:row>
    <x:row r="171">
      <x:c r="A171" s="6" t="n">
        <x:v>170</x:v>
      </x:c>
      <x:c r="B171" s="6" t="str">
        <x:v>TG</x:v>
      </x:c>
      <x:c r="C171" s="6" t="str">
        <x:v>Telegram-архив</x:v>
      </x:c>
      <x:c r="D171" s="6" t="n">
        <x:v>122</x:v>
      </x:c>
      <x:c r="E171" s="7" t="str">
        <x:v>В переводе с греческого это имя означает «бессмертный». Все, кто смотрел ЧМ-2026, наверняка слышали это имя. Услышать это имя от футбольного комментатора практически нереально, - вы навряд ли знаете хотя бы одного футболиста с таким именем. Но оно уже так прочно ассоциируется с этим ЧМ-2026, что на «Cnoptce"» даже вышла статья, посвященная этому «бессмертному». О каком имени идет речь?</x:v>
      </x:c>
      <x:c r="F171" s="7" t="str">
        <x:v>Не опубликован в посте</x:v>
      </x:c>
      <x:c r="G171" s="7" t="str">
        <x:v>Не размечено</x:v>
      </x:c>
      <x:c r="H171" s="7" t="str">
        <x:v>Спорт / смешанное</x:v>
      </x:c>
      <x:c r="I171" s="7" t="str">
        <x:v>OCR из карточки; требуется редакторская проверка</x:v>
      </x:c>
      <x:c r="J171" s="6"/>
      <x:c r="K171" s="6" t="str">
        <x:v>Не оценена</x:v>
      </x:c>
      <x:c r="L171" s="7" t="str">
        <x:v>telegram_archive/media/post_0719_photo_01.jpg</x:v>
      </x:c>
      <x:c r="M171" s="7"/>
      <x:c r="N171" s="7" t="str">
        <x:v>https://t.me/simple_quiz/719</x:v>
      </x:c>
    </x:row>
  </x:sheetData>
  <x:conditionalFormatting sqref="J2:J49">
    <x:cfRule type="colorScale" priority="1">
      <x:colorScale>
        <x:cfvo type="min"/>
        <x:cfvo type="percentile" val="50"/>
        <x:cfvo type="max"/>
        <x:color rgb="FFDDEBF7"/>
        <x:color rgb="FFFFD966"/>
        <x:color rgb="FFF4B183"/>
      </x:colorScale>
    </x:cfRule>
  </x:conditionalFormatting>
  <x:dataValidations count="1">
    <x:dataValidation type="list" sqref="K2:K49">
      <x:formula1>"Высокая,Средняя,Низкая"</x:formula1>
    </x:dataValidation>
  </x:dataValidations>
  <x:pageMargins left="0.7" right="0.7" top="0.75" bottom="0.75" header="0.3" footer="0.3"/>
  <x:tableParts count="1">
    <x:tablePart xmlns:r="http://schemas.openxmlformats.org/officeDocument/2006/relationships" r:id="Rb2a34146de4949c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13" hidden="0" customWidth="1"/>
    <x:col min="3" max="3" width="12" hidden="0" customWidth="1"/>
    <x:col min="4" max="4" width="55" hidden="0" customWidth="1"/>
  </x:cols>
  <x:sheetData>
    <x:row r="1">
      <x:c r="A1" s="12" t="str">
        <x:v>Механика</x:v>
      </x:c>
      <x:c r="B1" s="12" t="str">
        <x:v>Количество</x:v>
      </x:c>
      <x:c r="C1" s="12" t="str">
        <x:v>Доля</x:v>
      </x:c>
      <x:c r="D1" s="12" t="str">
        <x:v>Как распознавать</x:v>
      </x:c>
    </x:row>
    <x:row r="2">
      <x:c r="A2" s="14" t="str">
        <x:v>Совпадение фамилии</x:v>
      </x:c>
      <x:c r="B2" s="14" t="n">
        <x:v>3</x:v>
      </x:c>
      <x:c r="C2" s="15" t="n">
        <x:v>0.0625</x:v>
      </x:c>
      <x:c r="D2" s="14" t="str">
        <x:v>Два человека из разных сфер, одна фамилия.</x:v>
      </x:c>
    </x:row>
    <x:row r="3">
      <x:c r="A3" s="14" t="str">
        <x:v>Визуальная стилизация</x:v>
      </x:c>
      <x:c r="B3" s="14" t="n">
        <x:v>1</x:v>
      </x:c>
      <x:c r="C3" s="15" t="n">
        <x:v>0.020833333333333332</x:v>
      </x:c>
      <x:c r="D3" s="14" t="str">
        <x:v>Ищите ключевое слово, которое связывает спорт с другой областью.</x:v>
      </x:c>
    </x:row>
    <x:row r="4">
      <x:c r="A4" s="14" t="str">
        <x:v>Визуальный объект на обложке</x:v>
      </x:c>
      <x:c r="B4" s="14" t="n">
        <x:v>1</x:v>
      </x:c>
      <x:c r="C4" s="15" t="n">
        <x:v>0.020833333333333332</x:v>
      </x:c>
      <x:c r="D4" s="14" t="str">
        <x:v>Ищите ключевое слово, которое связывает спорт с другой областью.</x:v>
      </x:c>
    </x:row>
    <x:row r="5">
      <x:c r="A5" s="14" t="str">
        <x:v>Географический омоним</x:v>
      </x:c>
      <x:c r="B5" s="14" t="n">
        <x:v>1</x:v>
      </x:c>
      <x:c r="C5" s="15" t="n">
        <x:v>0.020833333333333332</x:v>
      </x:c>
      <x:c r="D5" s="14" t="str">
        <x:v>Ищите ключевое слово, которое связывает спорт с другой областью.</x:v>
      </x:c>
    </x:row>
    <x:row r="6">
      <x:c r="A6" s="14" t="str">
        <x:v>Геральдический символ</x:v>
      </x:c>
      <x:c r="B6" s="14" t="n">
        <x:v>1</x:v>
      </x:c>
      <x:c r="C6" s="15" t="n">
        <x:v>0.020833333333333332</x:v>
      </x:c>
      <x:c r="D6" s="14" t="str">
        <x:v>Ищите ключевое слово, которое связывает спорт с другой областью.</x:v>
      </x:c>
    </x:row>
    <x:row r="7">
      <x:c r="A7" s="14" t="str">
        <x:v>Город = фамилия</x:v>
      </x:c>
      <x:c r="B7" s="14" t="n">
        <x:v>1</x:v>
      </x:c>
      <x:c r="C7" s="15" t="n">
        <x:v>0.020833333333333332</x:v>
      </x:c>
      <x:c r="D7" s="14" t="str">
        <x:v>Ищите ключевое слово, которое связывает спорт с другой областью.</x:v>
      </x:c>
    </x:row>
    <x:row r="8">
      <x:c r="A8" s="14" t="str">
        <x:v>Демографическая статистика</x:v>
      </x:c>
      <x:c r="B8" s="14" t="n">
        <x:v>1</x:v>
      </x:c>
      <x:c r="C8" s="15" t="n">
        <x:v>0.020833333333333332</x:v>
      </x:c>
      <x:c r="D8" s="14" t="str">
        <x:v>Ищите ключевое слово, которое связывает спорт с другой областью.</x:v>
      </x:c>
    </x:row>
    <x:row r="9">
      <x:c r="A9" s="14" t="str">
        <x:v>Замена одной буквы</x:v>
      </x:c>
      <x:c r="B9" s="14" t="n">
        <x:v>1</x:v>
      </x:c>
      <x:c r="C9" s="15" t="n">
        <x:v>0.020833333333333332</x:v>
      </x:c>
      <x:c r="D9" s="14" t="str">
        <x:v>Ищите ключевое слово, которое связывает спорт с другой областью.</x:v>
      </x:c>
    </x:row>
    <x:row r="10">
      <x:c r="A10" s="14" t="str">
        <x:v>Замена слова + цитата</x:v>
      </x:c>
      <x:c r="B10" s="14" t="n">
        <x:v>1</x:v>
      </x:c>
      <x:c r="C10" s="15" t="n">
        <x:v>0.020833333333333332</x:v>
      </x:c>
      <x:c r="D10" s="14" t="str">
        <x:v>Ищите ключевое слово, которое связывает спорт с другой областью.</x:v>
      </x:c>
    </x:row>
    <x:row r="11">
      <x:c r="A11" s="14" t="str">
        <x:v>Имя + титул = имя актёра</x:v>
      </x:c>
      <x:c r="B11" s="14" t="n">
        <x:v>1</x:v>
      </x:c>
      <x:c r="C11" s="15" t="n">
        <x:v>0.020833333333333332</x:v>
      </x:c>
      <x:c r="D11" s="14" t="str">
        <x:v>Ищите ключевое слово, которое связывает спорт с другой областью.</x:v>
      </x:c>
    </x:row>
    <x:row r="12">
      <x:c r="A12" s="14" t="str">
        <x:v>Имя церковного деятеля = фамилия игрока</x:v>
      </x:c>
      <x:c r="B12" s="14" t="n">
        <x:v>1</x:v>
      </x:c>
      <x:c r="C12" s="15" t="n">
        <x:v>0.020833333333333332</x:v>
      </x:c>
      <x:c r="D12" s="14" t="str">
        <x:v>Ищите ключевое слово, которое связывает спорт с другой областью.</x:v>
      </x:c>
    </x:row>
    <x:row r="13">
      <x:c r="A13" s="14" t="str">
        <x:v>Интернет-неологизм</x:v>
      </x:c>
      <x:c r="B13" s="14" t="n">
        <x:v>1</x:v>
      </x:c>
      <x:c r="C13" s="15" t="n">
        <x:v>0.020833333333333332</x:v>
      </x:c>
      <x:c r="D13" s="14" t="str">
        <x:v>Ищите ключевое слово, которое связывает спорт с другой областью.</x:v>
      </x:c>
    </x:row>
    <x:row r="14">
      <x:c r="A14" s="14" t="str">
        <x:v>Исторический факт об Олимпиаде</x:v>
      </x:c>
      <x:c r="B14" s="14" t="n">
        <x:v>1</x:v>
      </x:c>
      <x:c r="C14" s="15" t="n">
        <x:v>0.020833333333333332</x:v>
      </x:c>
      <x:c r="D14" s="14" t="str">
        <x:v>Ищите ключевое слово, которое связывает спорт с другой областью.</x:v>
      </x:c>
    </x:row>
    <x:row r="15">
      <x:c r="A15" s="14" t="str">
        <x:v>Историческое переименование страны</x:v>
      </x:c>
      <x:c r="B15" s="14" t="n">
        <x:v>1</x:v>
      </x:c>
      <x:c r="C15" s="15" t="n">
        <x:v>0.020833333333333332</x:v>
      </x:c>
      <x:c r="D15" s="14" t="str">
        <x:v>Ищите ключевое слово, которое связывает спорт с другой областью.</x:v>
      </x:c>
    </x:row>
    <x:row r="16">
      <x:c r="A16" s="14" t="str">
        <x:v>История цивилизации + спорт</x:v>
      </x:c>
      <x:c r="B16" s="14" t="n">
        <x:v>1</x:v>
      </x:c>
      <x:c r="C16" s="15" t="n">
        <x:v>0.020833333333333332</x:v>
      </x:c>
      <x:c r="D16" s="14" t="str">
        <x:v>Ищите ключевое слово, которое связывает спорт с другой областью.</x:v>
      </x:c>
    </x:row>
    <x:row r="17">
      <x:c r="A17" s="14" t="str">
        <x:v>Короткая общая фамилия</x:v>
      </x:c>
      <x:c r="B17" s="14" t="n">
        <x:v>1</x:v>
      </x:c>
      <x:c r="C17" s="15" t="n">
        <x:v>0.020833333333333332</x:v>
      </x:c>
      <x:c r="D17" s="14" t="str">
        <x:v>Ищите ключевое слово, которое связывает спорт с другой областью.</x:v>
      </x:c>
    </x:row>
    <x:row r="18">
      <x:c r="A18" s="14" t="str">
        <x:v>Метафора + название картины</x:v>
      </x:c>
      <x:c r="B18" s="14" t="n">
        <x:v>1</x:v>
      </x:c>
      <x:c r="C18" s="15" t="n">
        <x:v>0.020833333333333332</x:v>
      </x:c>
      <x:c r="D18" s="14" t="str">
        <x:v>Ищите ключевое слово, которое связывает спорт с другой областью.</x:v>
      </x:c>
    </x:row>
    <x:row r="19">
      <x:c r="A19" s="14" t="str">
        <x:v>Многозначное слово</x:v>
      </x:c>
      <x:c r="B19" s="14" t="n">
        <x:v>1</x:v>
      </x:c>
      <x:c r="C19" s="15" t="n">
        <x:v>0.020833333333333332</x:v>
      </x:c>
      <x:c r="D19" s="14" t="str">
        <x:v>Ищите ключевое слово, которое связывает спорт с другой областью.</x:v>
      </x:c>
    </x:row>
    <x:row r="20">
      <x:c r="A20" s="14" t="str">
        <x:v>Название песни + киберспорт</x:v>
      </x:c>
      <x:c r="B20" s="14" t="n">
        <x:v>1</x:v>
      </x:c>
      <x:c r="C20" s="15" t="n">
        <x:v>0.020833333333333332</x:v>
      </x:c>
      <x:c r="D20" s="14" t="str">
        <x:v>Ищите ключевое слово, которое связывает спорт с другой областью.</x:v>
      </x:c>
    </x:row>
    <x:row r="21">
      <x:c r="A21" s="14" t="str">
        <x:v>Название песни + спортсмен</x:v>
      </x:c>
      <x:c r="B21" s="14" t="n">
        <x:v>1</x:v>
      </x:c>
      <x:c r="C21" s="15" t="n">
        <x:v>0.020833333333333332</x:v>
      </x:c>
      <x:c r="D21" s="14" t="str">
        <x:v>Ищите ключевое слово, которое связывает спорт с другой областью.</x:v>
      </x:c>
    </x:row>
    <x:row r="22">
      <x:c r="A22" s="14" t="str">
        <x:v>Название песни + характеристика</x:v>
      </x:c>
      <x:c r="B22" s="14" t="n">
        <x:v>1</x:v>
      </x:c>
      <x:c r="C22" s="15" t="n">
        <x:v>0.020833333333333332</x:v>
      </x:c>
      <x:c r="D22" s="14" t="str">
        <x:v>Ищите ключевое слово, которое связывает спорт с другой областью.</x:v>
      </x:c>
    </x:row>
    <x:row r="23">
      <x:c r="A23" s="14" t="str">
        <x:v>Одинаковое название клуба</x:v>
      </x:c>
      <x:c r="B23" s="14" t="n">
        <x:v>1</x:v>
      </x:c>
      <x:c r="C23" s="15" t="n">
        <x:v>0.020833333333333332</x:v>
      </x:c>
      <x:c r="D23" s="14" t="str">
        <x:v>Ищите ключевое слово, которое связывает спорт с другой областью.</x:v>
      </x:c>
    </x:row>
    <x:row r="24">
      <x:c r="A24" s="14" t="str">
        <x:v>Оригинальное название произведения</x:v>
      </x:c>
      <x:c r="B24" s="14" t="n">
        <x:v>1</x:v>
      </x:c>
      <x:c r="C24" s="15" t="n">
        <x:v>0.020833333333333332</x:v>
      </x:c>
      <x:c r="D24" s="14" t="str">
        <x:v>Ищите ключевое слово, которое связывает спорт с другой областью.</x:v>
      </x:c>
    </x:row>
    <x:row r="25">
      <x:c r="A25" s="14" t="str">
        <x:v>Оригинальное название фильма + фамилия</x:v>
      </x:c>
      <x:c r="B25" s="14" t="n">
        <x:v>1</x:v>
      </x:c>
      <x:c r="C25" s="15" t="n">
        <x:v>0.020833333333333332</x:v>
      </x:c>
      <x:c r="D25" s="14" t="str">
        <x:v>Ищите ключевое слово, которое связывает спорт с другой областью.</x:v>
      </x:c>
    </x:row>
    <x:row r="26">
      <x:c r="A26" s="14" t="str">
        <x:v>Оригинальное название фильма и снаряда</x:v>
      </x:c>
      <x:c r="B26" s="14" t="n">
        <x:v>1</x:v>
      </x:c>
      <x:c r="C26" s="15" t="n">
        <x:v>0.020833333333333332</x:v>
      </x:c>
      <x:c r="D26" s="14" t="str">
        <x:v>Ищите ключевое слово, которое связывает спорт с другой областью.</x:v>
      </x:c>
    </x:row>
    <x:row r="27">
      <x:c r="A27" s="14" t="str">
        <x:v>Перевод имени + картина</x:v>
      </x:c>
      <x:c r="B27" s="14" t="n">
        <x:v>1</x:v>
      </x:c>
      <x:c r="C27" s="15" t="n">
        <x:v>0.020833333333333332</x:v>
      </x:c>
      <x:c r="D27" s="14" t="str">
        <x:v>Ищите ключевое слово, которое связывает спорт с другой областью.</x:v>
      </x:c>
    </x:row>
    <x:row r="28">
      <x:c r="A28" s="14" t="str">
        <x:v>Перевод термина</x:v>
      </x:c>
      <x:c r="B28" s="14" t="n">
        <x:v>1</x:v>
      </x:c>
      <x:c r="C28" s="15" t="n">
        <x:v>0.020833333333333332</x:v>
      </x:c>
      <x:c r="D28" s="14" t="str">
        <x:v>Ищите ключевое слово, которое связывает спорт с другой областью.</x:v>
      </x:c>
    </x:row>
    <x:row r="29">
      <x:c r="A29" s="14" t="str">
        <x:v>Протест-перформанс</x:v>
      </x:c>
      <x:c r="B29" s="14" t="n">
        <x:v>1</x:v>
      </x:c>
      <x:c r="C29" s="15" t="n">
        <x:v>0.020833333333333332</x:v>
      </x:c>
      <x:c r="D29" s="14" t="str">
        <x:v>Ищите ключевое слово, которое связывает спорт с другой областью.</x:v>
      </x:c>
    </x:row>
    <x:row r="30">
      <x:c r="A30" s="14" t="str">
        <x:v>Русское название фильма как метафора</x:v>
      </x:c>
      <x:c r="B30" s="14" t="n">
        <x:v>1</x:v>
      </x:c>
      <x:c r="C30" s="15" t="n">
        <x:v>0.020833333333333332</x:v>
      </x:c>
      <x:c r="D30" s="14" t="str">
        <x:v>Ищите ключевое слово, которое связывает спорт с другой областью.</x:v>
      </x:c>
    </x:row>
    <x:row r="31">
      <x:c r="A31" s="14" t="str">
        <x:v>Свежая экономика спорта</x:v>
      </x:c>
      <x:c r="B31" s="14" t="n">
        <x:v>1</x:v>
      </x:c>
      <x:c r="C31" s="15" t="n">
        <x:v>0.020833333333333332</x:v>
      </x:c>
      <x:c r="D31" s="14" t="str">
        <x:v>Ищите ключевое слово, которое связывает спорт с другой областью.</x:v>
      </x:c>
    </x:row>
    <x:row r="32">
      <x:c r="A32" s="14" t="str">
        <x:v>Слово внутри топонима</x:v>
      </x:c>
      <x:c r="B32" s="14" t="n">
        <x:v>1</x:v>
      </x:c>
      <x:c r="C32" s="15" t="n">
        <x:v>0.020833333333333332</x:v>
      </x:c>
      <x:c r="D32" s="14" t="str">
        <x:v>Ищите ключевое слово, которое связывает спорт с другой областью.</x:v>
      </x:c>
    </x:row>
    <x:row r="33">
      <x:c r="A33" s="14" t="str">
        <x:v>Слово содержит фамилию</x:v>
      </x:c>
      <x:c r="B33" s="14" t="n">
        <x:v>1</x:v>
      </x:c>
      <x:c r="C33" s="15" t="n">
        <x:v>0.020833333333333332</x:v>
      </x:c>
      <x:c r="D33" s="14" t="str">
        <x:v>Ищите ключевое слово, которое связывает спорт с другой областью.</x:v>
      </x:c>
    </x:row>
    <x:row r="34">
      <x:c r="A34" s="14" t="str">
        <x:v>Совпадение имени</x:v>
      </x:c>
      <x:c r="B34" s="14" t="n">
        <x:v>1</x:v>
      </x:c>
      <x:c r="C34" s="15" t="n">
        <x:v>0.020833333333333332</x:v>
      </x:c>
      <x:c r="D34" s="14" t="str">
        <x:v>Ищите ключевое слово, которое связывает спорт с другой областью.</x:v>
      </x:c>
    </x:row>
    <x:row r="35">
      <x:c r="A35" s="14" t="str">
        <x:v>Созвучие термина и группы</x:v>
      </x:c>
      <x:c r="B35" s="14" t="n">
        <x:v>1</x:v>
      </x:c>
      <x:c r="C35" s="15" t="n">
        <x:v>0.020833333333333332</x:v>
      </x:c>
      <x:c r="D35" s="14" t="str">
        <x:v>Ищите ключевое слово, которое связывает спорт с другой областью.</x:v>
      </x:c>
    </x:row>
    <x:row r="36">
      <x:c r="A36" s="14" t="str">
        <x:v>Спортивное событие через город</x:v>
      </x:c>
      <x:c r="B36" s="14" t="n">
        <x:v>1</x:v>
      </x:c>
      <x:c r="C36" s="15" t="n">
        <x:v>0.020833333333333332</x:v>
      </x:c>
      <x:c r="D36" s="14" t="str">
        <x:v>Ищите ключевое слово, которое связывает спорт с другой областью.</x:v>
      </x:c>
    </x:row>
    <x:row r="37">
      <x:c r="A37" s="14" t="str">
        <x:v>Спортивный объект = мифологическое имя</x:v>
      </x:c>
      <x:c r="B37" s="14" t="n">
        <x:v>1</x:v>
      </x:c>
      <x:c r="C37" s="15" t="n">
        <x:v>0.020833333333333332</x:v>
      </x:c>
      <x:c r="D37" s="14" t="str">
        <x:v>Ищите ключевое слово, которое связывает спорт с другой областью.</x:v>
      </x:c>
    </x:row>
    <x:row r="38">
      <x:c r="A38" s="14" t="str">
        <x:v>Спортсмен = бренд</x:v>
      </x:c>
      <x:c r="B38" s="14" t="n">
        <x:v>1</x:v>
      </x:c>
      <x:c r="C38" s="15" t="n">
        <x:v>0.020833333333333332</x:v>
      </x:c>
      <x:c r="D38" s="14" t="str">
        <x:v>Ищите ключевое слово, которое связывает спорт с другой областью.</x:v>
      </x:c>
    </x:row>
    <x:row r="39">
      <x:c r="A39" s="14" t="str">
        <x:v>Страна через спортсмена и статистику</x:v>
      </x:c>
      <x:c r="B39" s="14" t="n">
        <x:v>1</x:v>
      </x:c>
      <x:c r="C39" s="15" t="n">
        <x:v>0.020833333333333332</x:v>
      </x:c>
      <x:c r="D39" s="14" t="str">
        <x:v>Ищите ключевое слово, которое связывает спорт с другой областью.</x:v>
      </x:c>
    </x:row>
    <x:row r="40">
      <x:c r="A40" s="14" t="str">
        <x:v>Строчка трека + физический факт</x:v>
      </x:c>
      <x:c r="B40" s="14" t="n">
        <x:v>1</x:v>
      </x:c>
      <x:c r="C40" s="15" t="n">
        <x:v>0.020833333333333332</x:v>
      </x:c>
      <x:c r="D40" s="14" t="str">
        <x:v>Ищите ключевое слово, которое связывает спорт с другой областью.</x:v>
      </x:c>
    </x:row>
    <x:row r="41">
      <x:c r="A41" s="14" t="str">
        <x:v>Фамилия = продукт</x:v>
      </x:c>
      <x:c r="B41" s="14" t="n">
        <x:v>1</x:v>
      </x:c>
      <x:c r="C41" s="15" t="n">
        <x:v>0.020833333333333332</x:v>
      </x:c>
      <x:c r="D41" s="14" t="str">
        <x:v>Ищите ключевое слово, которое связывает спорт с другой областью.</x:v>
      </x:c>
    </x:row>
    <x:row r="42">
      <x:c r="A42" s="14" t="str">
        <x:v>Фамилия = титул</x:v>
      </x:c>
      <x:c r="B42" s="14" t="n">
        <x:v>1</x:v>
      </x:c>
      <x:c r="C42" s="15" t="n">
        <x:v>0.020833333333333332</x:v>
      </x:c>
      <x:c r="D42" s="14" t="str">
        <x:v>Ищите ключевое слово, которое связывает спорт с другой областью.</x:v>
      </x:c>
    </x:row>
    <x:row r="43">
      <x:c r="A43" s="14" t="str">
        <x:v>Фамилия от географического названия</x:v>
      </x:c>
      <x:c r="B43" s="14" t="n">
        <x:v>1</x:v>
      </x:c>
      <x:c r="C43" s="15" t="n">
        <x:v>0.020833333333333332</x:v>
      </x:c>
      <x:c r="D43" s="14" t="str">
        <x:v>Ищите ключевое слово, которое связывает спорт с другой областью.</x:v>
      </x:c>
    </x:row>
    <x:row r="44">
      <x:c r="A44" s="14" t="str">
        <x:v>Цена рекламного формата</x:v>
      </x:c>
      <x:c r="B44" s="14" t="n">
        <x:v>1</x:v>
      </x:c>
      <x:c r="C44" s="15" t="n">
        <x:v>0.020833333333333332</x:v>
      </x:c>
      <x:c r="D44" s="14" t="str">
        <x:v>Ищите ключевое слово, которое связывает спорт с другой областью.</x:v>
      </x:c>
    </x:row>
    <x:row r="45">
      <x:c r="A45" s="14" t="str">
        <x:v>Цитата → действие</x:v>
      </x:c>
      <x:c r="B45" s="14" t="n">
        <x:v>1</x:v>
      </x:c>
      <x:c r="C45" s="15" t="n">
        <x:v>0.020833333333333332</x:v>
      </x:c>
      <x:c r="D45" s="14" t="str">
        <x:v>Ищите ключевое слово, которое связывает спорт с другой областью.</x:v>
      </x:c>
    </x:row>
    <x:row r="46">
      <x:c r="A46" s="14" t="str">
        <x:v>Этимология имени</x:v>
      </x:c>
      <x:c r="B46" s="14" t="n">
        <x:v>1</x:v>
      </x:c>
      <x:c r="C46" s="15" t="n">
        <x:v>0.020833333333333332</x:v>
      </x:c>
      <x:c r="D46" s="14" t="str">
        <x:v>Ищите ключевое слово, которое связывает спорт с другой областью.</x:v>
      </x:c>
    </x:row>
    <x:row r="47">
      <x:c r="A47" s="14" t="str">
        <x:v>Этимология фамилии</x:v>
      </x:c>
      <x:c r="B47" s="14" t="n">
        <x:v>1</x:v>
      </x:c>
      <x:c r="C47" s="15" t="n">
        <x:v>0.020833333333333332</x:v>
      </x:c>
      <x:c r="D47" s="14" t="str">
        <x:v>Ищите ключевое слово, которое связывает спорт с другой областью.</x:v>
      </x:c>
    </x:row>
  </x:sheetData>
  <x:pageMargins left="0.7" right="0.7" top="0.75" bottom="0.75" header="0.3" footer="0.3"/>
  <x:tableParts count="1">
    <x:tablePart xmlns:r="http://schemas.openxmlformats.org/officeDocument/2006/relationships" r:id="R2ba20e606fa14f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30" hidden="0" customWidth="1"/>
    <x:col min="4" max="4" width="38" hidden="0" customWidth="1"/>
    <x:col min="5" max="5" width="43" hidden="0" customWidth="1"/>
  </x:cols>
  <x:sheetData>
    <x:row r="1">
      <x:c r="A1" s="19" t="str">
        <x:v>Раунд</x:v>
      </x:c>
      <x:c r="B1" s="19" t="str">
        <x:v>Название</x:v>
      </x:c>
      <x:c r="C1" s="19" t="str">
        <x:v>Содержание</x:v>
      </x:c>
      <x:c r="D1" s="19" t="str">
        <x:v>Система баллов</x:v>
      </x:c>
      <x:c r="E1" s="19" t="str">
        <x:v>Ключ к подготовке</x:v>
      </x:c>
    </x:row>
    <x:row r="2">
      <x:c r="A2" s="14" t="n">
        <x:v>1</x:v>
      </x:c>
      <x:c r="B2" s="14" t="str">
        <x:v>Картина маслом</x:v>
      </x:c>
      <x:c r="C2" s="14" t="str">
        <x:v>Спорт + живопись/искусство</x:v>
      </x:c>
      <x:c r="D2" s="14" t="str">
        <x:v>Самая длинная серия правильных прибавляется к баллам</x:v>
      </x:c>
      <x:c r="E2" s="14" t="str">
        <x:v>Переводы названий, картины, художники, города</x:v>
      </x:c>
    </x:row>
    <x:row r="3">
      <x:c r="A3" s="14" t="n">
        <x:v>2</x:v>
      </x:c>
      <x:c r="B3" s="14" t="str">
        <x:v>Экзамены</x:v>
      </x:c>
      <x:c r="C3" s="14" t="str">
        <x:v>Межпредметные связи</x:v>
      </x:c>
      <x:c r="D3" s="14" t="str">
        <x:v>Цена зависит от выбранных профильных предметов</x:v>
      </x:c>
      <x:c r="E3" s="14" t="str">
        <x:v>Этимология, омонимы, школьные дисциплины</x:v>
      </x:c>
    </x:row>
    <x:row r="4">
      <x:c r="A4" s="14" t="n">
        <x:v>3</x:v>
      </x:c>
      <x:c r="B4" s="14" t="str">
        <x:v>География</x:v>
      </x:c>
      <x:c r="C4" s="14" t="str">
        <x:v>Страны, города, регионы</x:v>
      </x:c>
      <x:c r="D4" s="14" t="str">
        <x:v>Три выбранных вопроса удваиваются</x:v>
      </x:c>
      <x:c r="E4" s="14" t="str">
        <x:v>Топонимы, фамилии, переименования, столицы</x:v>
      </x:c>
    </x:row>
    <x:row r="5">
      <x:c r="A5" s="14" t="n">
        <x:v>4</x:v>
      </x:c>
      <x:c r="B5" s="14" t="str">
        <x:v>American Sports</x:v>
      </x:c>
      <x:c r="C5" s="14" t="str">
        <x:v>NBA/NHL/NFL/MLS</x:v>
      </x:c>
      <x:c r="D5" s="14" t="str">
        <x:v>+2 за верный, −2 за неверный или пропуск</x:v>
      </x:c>
      <x:c r="E5" s="14" t="str">
        <x:v>Свежие новости, реклама, демография, брендинг</x:v>
      </x:c>
    </x:row>
    <x:row r="6">
      <x:c r="A6" s="14" t="n">
        <x:v>5</x:v>
      </x:c>
      <x:c r="B6" s="14" t="str">
        <x:v>Музыкальный</x:v>
      </x:c>
      <x:c r="C6" s="14" t="str">
        <x:v>Песни, группы, обложки</x:v>
      </x:c>
      <x:c r="D6" s="14" t="str">
        <x:v>Цена растёт от 1 до 6</x:v>
      </x:c>
      <x:c r="E6" s="14" t="str">
        <x:v>Названия песен, строки, созвучия</x:v>
      </x:c>
    </x:row>
    <x:row r="7">
      <x:c r="A7" s="14" t="n">
        <x:v>6</x:v>
      </x:c>
      <x:c r="B7" s="14" t="str">
        <x:v>25-й кадр</x:v>
      </x:c>
      <x:c r="C7" s="14" t="str">
        <x:v>Кино</x:v>
      </x:c>
      <x:c r="D7" s="14" t="str">
        <x:v>Два выбранных вопроса утраиваются</x:v>
      </x:c>
      <x:c r="E7" s="14" t="str">
        <x:v>Оригинальные названия, актёры, фамилии</x:v>
      </x:c>
    </x:row>
    <x:row r="8">
      <x:c r="A8" s="14" t="n">
        <x:v>7</x:v>
      </x:c>
      <x:c r="B8" s="14" t="str">
        <x:v>Маркетинг</x:v>
      </x:c>
      <x:c r="C8" s="14" t="str">
        <x:v>Бренды, деньги, соцсети</x:v>
      </x:c>
      <x:c r="D8" s="14" t="str">
        <x:v>Команда сама назначает цены 1–6 без повторов</x:v>
      </x:c>
      <x:c r="E8" s="14" t="str">
        <x:v>Рекламные контракты, бренды, мемы</x:v>
      </x:c>
    </x:row>
    <x:row r="9">
      <x:c r="A9" s="14" t="n">
        <x:v>8</x:v>
      </x:c>
      <x:c r="B9" s="14" t="str">
        <x:v>С Богом</x:v>
      </x:c>
      <x:c r="C9" s="14" t="str">
        <x:v>Религия, мифология, имена</x:v>
      </x:c>
      <x:c r="D9" s="14" t="str">
        <x:v>Можно утроить весь раунд при шести верных</x:v>
      </x:c>
      <x:c r="E9" s="14" t="str">
        <x:v>Этимология имён, мифы, церковная история</x:v>
      </x:c>
    </x:row>
  </x:sheetData>
  <x:pageMargins left="0.7" right="0.7" top="0.75" bottom="0.75" header="0.3" footer="0.3"/>
  <x:tableParts count="1">
    <x:tablePart xmlns:r="http://schemas.openxmlformats.org/officeDocument/2006/relationships" r:id="R9ea5bde8468240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4" max="4" width="7" hidden="0" customWidth="1"/>
    <x:col min="5" max="5" width="18" hidden="0" customWidth="1"/>
    <x:col min="6" max="6" width="18" hidden="0" customWidth="1"/>
    <x:col min="7" max="7" width="18" hidden="0" customWidth="1"/>
    <x:col min="8" max="8" width="18" hidden="0" customWidth="1"/>
  </x:cols>
  <x:sheetData>
    <x:row r="1">
      <x:c r="A1" s="22" t="str">
        <x:v>SIMPLE QUIZ INTELLIGENCE — база + Telegram</x:v>
      </x:c>
      <x:c r="B1" s="22"/>
      <x:c r="C1" s="22"/>
      <x:c r="D1" s="22"/>
      <x:c r="E1" s="22"/>
      <x:c r="F1" s="22"/>
      <x:c r="G1" s="22"/>
      <x:c r="H1" s="22"/>
    </x:row>
    <x:row r="2">
      <x:c r="A2" s="22"/>
      <x:c r="B2" s="22"/>
      <x:c r="C2" s="22"/>
      <x:c r="D2" s="22"/>
      <x:c r="E2" s="22"/>
      <x:c r="F2" s="22"/>
      <x:c r="G2" s="22"/>
      <x:c r="H2" s="22"/>
    </x:row>
    <x:row r="4" ht="30" customHeight="1">
      <x:c r="A4" s="24" t="str">
        <x:v>Показатель</x:v>
      </x:c>
      <x:c r="B4" s="24" t="str">
        <x:v>Значение</x:v>
      </x:c>
      <x:c r="D4" s="28" t="str">
        <x:v>Главные выводы</x:v>
      </x:c>
      <x:c r="E4" s="28" t="str"/>
      <x:c r="F4" s="28" t="str"/>
      <x:c r="G4" s="28" t="str"/>
      <x:c r="H4" s="28" t="str"/>
    </x:row>
    <x:row r="5" ht="34" customHeight="1">
      <x:c r="A5" t="str">
        <x:v>Вопросов в базе</x:v>
      </x:c>
      <x:c r="B5" t="n">
        <x:f>COUNTA('Каталог'!$A$2:$A$500)</x:f>
        <x:v>170</x:v>
      </x:c>
      <x:c r="D5" s="30" t="str">
        <x:v>1</x:v>
      </x:c>
      <x:c r="E5" s="14" t="str">
        <x:v>Авторы строят вопросы через мост между спортом и другой областью</x:v>
      </x:c>
      <x:c r="F5" s="14" t="str"/>
      <x:c r="G5" s="14" t="str"/>
      <x:c r="H5" s="14" t="str"/>
    </x:row>
    <x:row r="6" ht="34" customHeight="1">
      <x:c r="A6" t="str">
        <x:v>Раундов</x:v>
      </x:c>
      <x:c r="B6" t="n">
        <x:f>COUNTA('Раунды'!$A$2:$A$100)</x:f>
        <x:v>8</x:v>
      </x:c>
      <x:c r="D6" s="30" t="str">
        <x:v>2</x:v>
      </x:c>
      <x:c r="E6" s="14" t="str">
        <x:v>Самые частые опоры: фамилии, переводы, названия фильмов и песен</x:v>
      </x:c>
      <x:c r="F6" s="14" t="str"/>
      <x:c r="G6" s="14" t="str"/>
      <x:c r="H6" s="14" t="str"/>
    </x:row>
    <x:row r="7" ht="34" customHeight="1">
      <x:c r="A7" t="str">
        <x:v>Средняя сложность</x:v>
      </x:c>
      <x:c r="B7" s="25" t="n">
        <x:f>AVERAGE('Каталог'!$J$2:$J$500)</x:f>
        <x:v>4.833333333333333</x:v>
      </x:c>
      <x:c r="D7" s="30" t="str">
        <x:v>3</x:v>
      </x:c>
      <x:c r="E7" s="14" t="str">
        <x:v>Раунд заранее подсказывает тип связи, которую надо искать</x:v>
      </x:c>
      <x:c r="F7" s="14" t="str"/>
      <x:c r="G7" s="14" t="str"/>
      <x:c r="H7" s="14" t="str"/>
    </x:row>
    <x:row r="8" ht="34" customHeight="1">
      <x:c r="A8" t="str">
        <x:v>Механик</x:v>
      </x:c>
      <x:c r="B8" t="n">
        <x:f>COUNTA('Механики'!$A$2:$A$200)</x:f>
        <x:v>46</x:v>
      </x:c>
      <x:c r="D8" s="30" t="str">
        <x:v>4</x:v>
      </x:c>
      <x:c r="E8" s="14" t="str">
        <x:v>Свежие новости особенно важны для American Sports и Маркетинга</x:v>
      </x:c>
      <x:c r="F8" s="14" t="str"/>
      <x:c r="G8" s="14" t="str"/>
      <x:c r="H8" s="14" t="str"/>
    </x:row>
    <x:row r="9" ht="34" customHeight="1">
      <x:c r="D9" s="30" t="str">
        <x:v>5</x:v>
      </x:c>
      <x:c r="E9" s="14" t="str">
        <x:v>В финале риск-механики делают стратегию ставок не менее важной, чем знания</x:v>
      </x:c>
      <x:c r="F9" s="14" t="str"/>
      <x:c r="G9" s="14" t="str"/>
      <x:c r="H9" s="14" t="str"/>
    </x:row>
    <x:row r="10" ht="30" customHeight="1">
      <x:c r="A10" s="27" t="str">
        <x:v>Повторяемость</x:v>
      </x:c>
      <x:c r="B10" s="27" t="str">
        <x:v>Количество</x:v>
      </x:c>
    </x:row>
    <x:row r="11" ht="30" customHeight="1">
      <x:c r="A11" t="str">
        <x:v>Высокая</x:v>
      </x:c>
      <x:c r="B11" t="n">
        <x:f>COUNTIF('Каталог'!$K$2:$K$500,A11)</x:f>
        <x:v>33</x:v>
      </x:c>
    </x:row>
    <x:row r="12" ht="30" customHeight="1">
      <x:c r="A12" t="str">
        <x:v>Средняя</x:v>
      </x:c>
      <x:c r="B12" t="n">
        <x:f>COUNTIF('Каталог'!$K$2:$K$500,A12)</x:f>
        <x:v>15</x:v>
      </x:c>
    </x:row>
    <x:row r="13" ht="30" customHeight="1">
      <x:c r="A13" t="str">
        <x:v>Низкая</x:v>
      </x:c>
      <x:c r="B13" t="n">
        <x:f>COUNTIF('Каталог'!$K$2:$K$500,A13)</x:f>
        <x:v>0</x:v>
      </x:c>
    </x:row>
    <x:row r="16">
      <x:c r="A16" s="32" t="str">
        <x:v>Раунд</x:v>
      </x:c>
      <x:c r="B16" s="32" t="str">
        <x:v>Средняя сложность</x:v>
      </x:c>
    </x:row>
    <x:row r="17">
      <x:c r="A17" t="str">
        <x:v>Картина маслом</x:v>
      </x:c>
      <x:c r="B17" s="25" t="n">
        <x:f>AVERAGEIF('Каталог'!$C$2:$C$500,A17,'Каталог'!$J$2:$J$500)</x:f>
        <x:v>5.333333333333333</x:v>
      </x:c>
    </x:row>
    <x:row r="18">
      <x:c r="A18" t="str">
        <x:v>Экзамены</x:v>
      </x:c>
      <x:c r="B18" s="25" t="n">
        <x:f>AVERAGEIF('Каталог'!$C$2:$C$500,A18,'Каталог'!$J$2:$J$500)</x:f>
        <x:v>4.166666666666667</x:v>
      </x:c>
    </x:row>
    <x:row r="19">
      <x:c r="A19" t="str">
        <x:v>География</x:v>
      </x:c>
      <x:c r="B19" s="25" t="n">
        <x:f>AVERAGEIF('Каталог'!$C$2:$C$500,A19,'Каталог'!$J$2:$J$500)</x:f>
        <x:v>5.833333333333333</x:v>
      </x:c>
    </x:row>
    <x:row r="20">
      <x:c r="A20" t="str">
        <x:v>American Sports</x:v>
      </x:c>
      <x:c r="B20" s="25" t="n">
        <x:f>AVERAGEIF('Каталог'!$C$2:$C$500,A20,'Каталог'!$J$2:$J$500)</x:f>
        <x:v>3.6666666666666665</x:v>
      </x:c>
    </x:row>
    <x:row r="21">
      <x:c r="A21" t="str">
        <x:v>Музыкальный</x:v>
      </x:c>
      <x:c r="B21" s="25" t="n">
        <x:f>AVERAGEIF('Каталог'!$C$2:$C$500,A21,'Каталог'!$J$2:$J$500)</x:f>
        <x:v>5.166666666666667</x:v>
      </x:c>
    </x:row>
    <x:row r="22">
      <x:c r="A22" t="str">
        <x:v>25-й кадр</x:v>
      </x:c>
      <x:c r="B22" s="25" t="n">
        <x:f>AVERAGEIF('Каталог'!$C$2:$C$500,A22,'Каталог'!$J$2:$J$500)</x:f>
        <x:v>5.166666666666667</x:v>
      </x:c>
    </x:row>
    <x:row r="23">
      <x:c r="A23" t="str">
        <x:v>Маркетинг</x:v>
      </x:c>
      <x:c r="B23" s="25" t="n">
        <x:f>AVERAGEIF('Каталог'!$C$2:$C$500,A23,'Каталог'!$J$2:$J$500)</x:f>
        <x:v>4.166666666666667</x:v>
      </x:c>
    </x:row>
    <x:row r="24">
      <x:c r="A24" t="str">
        <x:v>С Богом</x:v>
      </x:c>
      <x:c r="B24" s="25" t="n">
        <x:f>AVERAGEIF('Каталог'!$C$2:$C$500,A24,'Каталог'!$J$2:$J$500)</x:f>
        <x:v>5.166666666666667</x:v>
      </x:c>
    </x:row>
  </x:sheetData>
  <x:mergeCells>
    <x:mergeCell ref="A1:H1"/>
    <x:mergeCell ref="D4:H4"/>
    <x:mergeCell ref="E5:H5"/>
    <x:mergeCell ref="E6:H6"/>
    <x:mergeCell ref="E7:H7"/>
    <x:mergeCell ref="E8:H8"/>
    <x:mergeCell ref="E9:H9"/>
  </x:mergeCells>
  <x:pageMargins left="0.7" right="0.7" top="0.75" bottom="0.75" header="0.3" footer="0.3"/>
  <x:drawing xmlns:r="http://schemas.openxmlformats.org/officeDocument/2006/relationships" r:id="R2369298a080040de"/>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0" hidden="0" customWidth="1"/>
    <x:col min="4" max="4" width="10" hidden="0" customWidth="1"/>
    <x:col min="5" max="5" width="50" hidden="0" customWidth="1"/>
    <x:col min="6" max="6" width="24" hidden="0" customWidth="1"/>
    <x:col min="7" max="7" width="30" hidden="0" customWidth="1"/>
    <x:col min="8" max="8" width="26" hidden="0" customWidth="1"/>
    <x:col min="9" max="9" width="45" hidden="0" customWidth="1"/>
    <x:col min="10" max="10" width="12" hidden="0" customWidth="1"/>
    <x:col min="11" max="11" width="28" hidden="0" customWidth="1"/>
    <x:col min="12" max="12" width="12" hidden="0" customWidth="1"/>
  </x:cols>
  <x:sheetData>
    <x:row r="1">
      <x:c r="A1" s="36" t="str">
        <x:v>Дата игры</x:v>
      </x:c>
      <x:c r="B1" s="36" t="str">
        <x:v>Название/номер игры</x:v>
      </x:c>
      <x:c r="C1" s="36" t="str">
        <x:v>Раунд</x:v>
      </x:c>
      <x:c r="D1" s="36" t="str">
        <x:v>№ вопроса</x:v>
      </x:c>
      <x:c r="E1" s="36" t="str">
        <x:v>Текст вопроса</x:v>
      </x:c>
      <x:c r="F1" s="36" t="str">
        <x:v>Ответ</x:v>
      </x:c>
      <x:c r="G1" s="36" t="str">
        <x:v>Механика</x:v>
      </x:c>
      <x:c r="H1" s="36" t="str">
        <x:v>Области</x:v>
      </x:c>
      <x:c r="I1" s="36" t="str">
        <x:v>Цепочка решения</x:v>
      </x:c>
      <x:c r="J1" s="36" t="str">
        <x:v>Сложность</x:v>
      </x:c>
      <x:c r="K1" s="36" t="str">
        <x:v>Источник/ссылка</x:v>
      </x:c>
      <x:c r="L1" s="36" t="str">
        <x:v>Проверено</x:v>
      </x:c>
    </x:row>
    <x:row r="2">
      <x:c r="A2" s="14" t="str"/>
      <x:c r="B2" s="14" t="str"/>
      <x:c r="C2" s="14" t="str"/>
      <x:c r="D2" s="14" t="str"/>
      <x:c r="E2" s="14" t="str"/>
      <x:c r="F2" s="14" t="str"/>
      <x:c r="G2" s="14" t="str"/>
      <x:c r="H2" s="14" t="str"/>
      <x:c r="I2" s="14" t="str"/>
      <x:c r="J2" s="14" t="str"/>
      <x:c r="K2" s="14" t="str"/>
      <x:c r="L2" s="14" t="str"/>
    </x:row>
    <x:row r="3">
      <x:c r="A3" s="14" t="str"/>
      <x:c r="B3" s="14" t="str"/>
      <x:c r="C3" s="14" t="str"/>
      <x:c r="D3" s="14" t="str"/>
      <x:c r="E3" s="14" t="str"/>
      <x:c r="F3" s="14" t="str"/>
      <x:c r="G3" s="14" t="str"/>
      <x:c r="H3" s="14" t="str"/>
      <x:c r="I3" s="14" t="str"/>
      <x:c r="J3" s="14" t="str"/>
      <x:c r="K3" s="14" t="str"/>
      <x:c r="L3" s="14" t="str"/>
    </x:row>
    <x:row r="4">
      <x:c r="A4" s="14" t="str"/>
      <x:c r="B4" s="14" t="str"/>
      <x:c r="C4" s="14" t="str"/>
      <x:c r="D4" s="14" t="str"/>
      <x:c r="E4" s="14" t="str"/>
      <x:c r="F4" s="14" t="str"/>
      <x:c r="G4" s="14" t="str"/>
      <x:c r="H4" s="14" t="str"/>
      <x:c r="I4" s="14" t="str"/>
      <x:c r="J4" s="14" t="str"/>
      <x:c r="K4" s="14" t="str"/>
      <x:c r="L4" s="14" t="str"/>
    </x:row>
    <x:row r="5">
      <x:c r="A5" s="14" t="str"/>
      <x:c r="B5" s="14" t="str"/>
      <x:c r="C5" s="14" t="str"/>
      <x:c r="D5" s="14" t="str"/>
      <x:c r="E5" s="14" t="str"/>
      <x:c r="F5" s="14" t="str"/>
      <x:c r="G5" s="14" t="str"/>
      <x:c r="H5" s="14" t="str"/>
      <x:c r="I5" s="14" t="str"/>
      <x:c r="J5" s="14" t="str"/>
      <x:c r="K5" s="14" t="str"/>
      <x:c r="L5" s="14" t="str"/>
    </x:row>
    <x:row r="6">
      <x:c r="A6" s="14" t="str"/>
      <x:c r="B6" s="14" t="str"/>
      <x:c r="C6" s="14" t="str"/>
      <x:c r="D6" s="14" t="str"/>
      <x:c r="E6" s="14" t="str"/>
      <x:c r="F6" s="14" t="str"/>
      <x:c r="G6" s="14" t="str"/>
      <x:c r="H6" s="14" t="str"/>
      <x:c r="I6" s="14" t="str"/>
      <x:c r="J6" s="14" t="str"/>
      <x:c r="K6" s="14" t="str"/>
      <x:c r="L6" s="14" t="str"/>
    </x:row>
    <x:row r="7">
      <x:c r="A7" s="14" t="str"/>
      <x:c r="B7" s="14" t="str"/>
      <x:c r="C7" s="14" t="str"/>
      <x:c r="D7" s="14" t="str"/>
      <x:c r="E7" s="14" t="str"/>
      <x:c r="F7" s="14" t="str"/>
      <x:c r="G7" s="14" t="str"/>
      <x:c r="H7" s="14" t="str"/>
      <x:c r="I7" s="14" t="str"/>
      <x:c r="J7" s="14" t="str"/>
      <x:c r="K7" s="14" t="str"/>
      <x:c r="L7" s="14" t="str"/>
    </x:row>
    <x:row r="8">
      <x:c r="A8" s="14" t="str"/>
      <x:c r="B8" s="14" t="str"/>
      <x:c r="C8" s="14" t="str"/>
      <x:c r="D8" s="14" t="str"/>
      <x:c r="E8" s="14" t="str"/>
      <x:c r="F8" s="14" t="str"/>
      <x:c r="G8" s="14" t="str"/>
      <x:c r="H8" s="14" t="str"/>
      <x:c r="I8" s="14" t="str"/>
      <x:c r="J8" s="14" t="str"/>
      <x:c r="K8" s="14" t="str"/>
      <x:c r="L8" s="14" t="str"/>
    </x:row>
    <x:row r="9">
      <x:c r="A9" s="14" t="str"/>
      <x:c r="B9" s="14" t="str"/>
      <x:c r="C9" s="14" t="str"/>
      <x:c r="D9" s="14" t="str"/>
      <x:c r="E9" s="14" t="str"/>
      <x:c r="F9" s="14" t="str"/>
      <x:c r="G9" s="14" t="str"/>
      <x:c r="H9" s="14" t="str"/>
      <x:c r="I9" s="14" t="str"/>
      <x:c r="J9" s="14" t="str"/>
      <x:c r="K9" s="14" t="str"/>
      <x:c r="L9" s="14" t="str"/>
    </x:row>
    <x:row r="10">
      <x:c r="A10" s="14" t="str"/>
      <x:c r="B10" s="14" t="str"/>
      <x:c r="C10" s="14" t="str"/>
      <x:c r="D10" s="14" t="str"/>
      <x:c r="E10" s="14" t="str"/>
      <x:c r="F10" s="14" t="str"/>
      <x:c r="G10" s="14" t="str"/>
      <x:c r="H10" s="14" t="str"/>
      <x:c r="I10" s="14" t="str"/>
      <x:c r="J10" s="14" t="str"/>
      <x:c r="K10" s="14" t="str"/>
      <x:c r="L10" s="14" t="str"/>
    </x:row>
    <x:row r="11">
      <x:c r="A11" s="14" t="str"/>
      <x:c r="B11" s="14" t="str"/>
      <x:c r="C11" s="14" t="str"/>
      <x:c r="D11" s="14" t="str"/>
      <x:c r="E11" s="14" t="str"/>
      <x:c r="F11" s="14" t="str"/>
      <x:c r="G11" s="14" t="str"/>
      <x:c r="H11" s="14" t="str"/>
      <x:c r="I11" s="14" t="str"/>
      <x:c r="J11" s="14" t="str"/>
      <x:c r="K11" s="14" t="str"/>
      <x:c r="L11" s="14" t="str"/>
    </x:row>
    <x:row r="12">
      <x:c r="A12" s="14" t="str"/>
      <x:c r="B12" s="14" t="str"/>
      <x:c r="C12" s="14" t="str"/>
      <x:c r="D12" s="14" t="str"/>
      <x:c r="E12" s="14" t="str"/>
      <x:c r="F12" s="14" t="str"/>
      <x:c r="G12" s="14" t="str"/>
      <x:c r="H12" s="14" t="str"/>
      <x:c r="I12" s="14" t="str"/>
      <x:c r="J12" s="14" t="str"/>
      <x:c r="K12" s="14" t="str"/>
      <x:c r="L12" s="14" t="str"/>
    </x:row>
    <x:row r="13">
      <x:c r="A13" s="14" t="str"/>
      <x:c r="B13" s="14" t="str"/>
      <x:c r="C13" s="14" t="str"/>
      <x:c r="D13" s="14" t="str"/>
      <x:c r="E13" s="14" t="str"/>
      <x:c r="F13" s="14" t="str"/>
      <x:c r="G13" s="14" t="str"/>
      <x:c r="H13" s="14" t="str"/>
      <x:c r="I13" s="14" t="str"/>
      <x:c r="J13" s="14" t="str"/>
      <x:c r="K13" s="14" t="str"/>
      <x:c r="L13" s="14" t="str"/>
    </x:row>
    <x:row r="14">
      <x:c r="A14" s="14" t="str"/>
      <x:c r="B14" s="14" t="str"/>
      <x:c r="C14" s="14" t="str"/>
      <x:c r="D14" s="14" t="str"/>
      <x:c r="E14" s="14" t="str"/>
      <x:c r="F14" s="14" t="str"/>
      <x:c r="G14" s="14" t="str"/>
      <x:c r="H14" s="14" t="str"/>
      <x:c r="I14" s="14" t="str"/>
      <x:c r="J14" s="14" t="str"/>
      <x:c r="K14" s="14" t="str"/>
      <x:c r="L14" s="14" t="str"/>
    </x:row>
    <x:row r="15">
      <x:c r="A15" s="14" t="str"/>
      <x:c r="B15" s="14" t="str"/>
      <x:c r="C15" s="14" t="str"/>
      <x:c r="D15" s="14" t="str"/>
      <x:c r="E15" s="14" t="str"/>
      <x:c r="F15" s="14" t="str"/>
      <x:c r="G15" s="14" t="str"/>
      <x:c r="H15" s="14" t="str"/>
      <x:c r="I15" s="14" t="str"/>
      <x:c r="J15" s="14" t="str"/>
      <x:c r="K15" s="14" t="str"/>
      <x:c r="L15" s="14" t="str"/>
    </x:row>
    <x:row r="16">
      <x:c r="A16" s="14" t="str"/>
      <x:c r="B16" s="14" t="str"/>
      <x:c r="C16" s="14" t="str"/>
      <x:c r="D16" s="14" t="str"/>
      <x:c r="E16" s="14" t="str"/>
      <x:c r="F16" s="14" t="str"/>
      <x:c r="G16" s="14" t="str"/>
      <x:c r="H16" s="14" t="str"/>
      <x:c r="I16" s="14" t="str"/>
      <x:c r="J16" s="14" t="str"/>
      <x:c r="K16" s="14" t="str"/>
      <x:c r="L16" s="14" t="str"/>
    </x:row>
    <x:row r="17">
      <x:c r="A17" s="14" t="str"/>
      <x:c r="B17" s="14" t="str"/>
      <x:c r="C17" s="14" t="str"/>
      <x:c r="D17" s="14" t="str"/>
      <x:c r="E17" s="14" t="str"/>
      <x:c r="F17" s="14" t="str"/>
      <x:c r="G17" s="14" t="str"/>
      <x:c r="H17" s="14" t="str"/>
      <x:c r="I17" s="14" t="str"/>
      <x:c r="J17" s="14" t="str"/>
      <x:c r="K17" s="14" t="str"/>
      <x:c r="L17" s="14" t="str"/>
    </x:row>
    <x:row r="18">
      <x:c r="A18" s="14" t="str"/>
      <x:c r="B18" s="14" t="str"/>
      <x:c r="C18" s="14" t="str"/>
      <x:c r="D18" s="14" t="str"/>
      <x:c r="E18" s="14" t="str"/>
      <x:c r="F18" s="14" t="str"/>
      <x:c r="G18" s="14" t="str"/>
      <x:c r="H18" s="14" t="str"/>
      <x:c r="I18" s="14" t="str"/>
      <x:c r="J18" s="14" t="str"/>
      <x:c r="K18" s="14" t="str"/>
      <x:c r="L18" s="14" t="str"/>
    </x:row>
    <x:row r="19">
      <x:c r="A19" s="14" t="str"/>
      <x:c r="B19" s="14" t="str"/>
      <x:c r="C19" s="14" t="str"/>
      <x:c r="D19" s="14" t="str"/>
      <x:c r="E19" s="14" t="str"/>
      <x:c r="F19" s="14" t="str"/>
      <x:c r="G19" s="14" t="str"/>
      <x:c r="H19" s="14" t="str"/>
      <x:c r="I19" s="14" t="str"/>
      <x:c r="J19" s="14" t="str"/>
      <x:c r="K19" s="14" t="str"/>
      <x:c r="L19" s="14" t="str"/>
    </x:row>
    <x:row r="20">
      <x:c r="A20" s="14" t="str"/>
      <x:c r="B20" s="14" t="str"/>
      <x:c r="C20" s="14" t="str"/>
      <x:c r="D20" s="14" t="str"/>
      <x:c r="E20" s="14" t="str"/>
      <x:c r="F20" s="14" t="str"/>
      <x:c r="G20" s="14" t="str"/>
      <x:c r="H20" s="14" t="str"/>
      <x:c r="I20" s="14" t="str"/>
      <x:c r="J20" s="14" t="str"/>
      <x:c r="K20" s="14" t="str"/>
      <x:c r="L20" s="14" t="str"/>
    </x:row>
    <x:row r="21">
      <x:c r="A21" s="14" t="str"/>
      <x:c r="B21" s="14" t="str"/>
      <x:c r="C21" s="14" t="str"/>
      <x:c r="D21" s="14" t="str"/>
      <x:c r="E21" s="14" t="str"/>
      <x:c r="F21" s="14" t="str"/>
      <x:c r="G21" s="14" t="str"/>
      <x:c r="H21" s="14" t="str"/>
      <x:c r="I21" s="14" t="str"/>
      <x:c r="J21" s="14" t="str"/>
      <x:c r="K21" s="14" t="str"/>
      <x:c r="L21" s="14" t="str"/>
    </x:row>
    <x:row r="22">
      <x:c r="A22" s="14" t="str"/>
      <x:c r="B22" s="14" t="str"/>
      <x:c r="C22" s="14" t="str"/>
      <x:c r="D22" s="14" t="str"/>
      <x:c r="E22" s="14" t="str"/>
      <x:c r="F22" s="14" t="str"/>
      <x:c r="G22" s="14" t="str"/>
      <x:c r="H22" s="14" t="str"/>
      <x:c r="I22" s="14" t="str"/>
      <x:c r="J22" s="14" t="str"/>
      <x:c r="K22" s="14" t="str"/>
      <x:c r="L22" s="14" t="str"/>
    </x:row>
    <x:row r="23">
      <x:c r="A23" s="14" t="str"/>
      <x:c r="B23" s="14" t="str"/>
      <x:c r="C23" s="14" t="str"/>
      <x:c r="D23" s="14" t="str"/>
      <x:c r="E23" s="14" t="str"/>
      <x:c r="F23" s="14" t="str"/>
      <x:c r="G23" s="14" t="str"/>
      <x:c r="H23" s="14" t="str"/>
      <x:c r="I23" s="14" t="str"/>
      <x:c r="J23" s="14" t="str"/>
      <x:c r="K23" s="14" t="str"/>
      <x:c r="L23" s="14" t="str"/>
    </x:row>
    <x:row r="24">
      <x:c r="A24" s="14" t="str"/>
      <x:c r="B24" s="14" t="str"/>
      <x:c r="C24" s="14" t="str"/>
      <x:c r="D24" s="14" t="str"/>
      <x:c r="E24" s="14" t="str"/>
      <x:c r="F24" s="14" t="str"/>
      <x:c r="G24" s="14" t="str"/>
      <x:c r="H24" s="14" t="str"/>
      <x:c r="I24" s="14" t="str"/>
      <x:c r="J24" s="14" t="str"/>
      <x:c r="K24" s="14" t="str"/>
      <x:c r="L24" s="14" t="str"/>
    </x:row>
    <x:row r="25">
      <x:c r="A25" s="14" t="str"/>
      <x:c r="B25" s="14" t="str"/>
      <x:c r="C25" s="14" t="str"/>
      <x:c r="D25" s="14" t="str"/>
      <x:c r="E25" s="14" t="str"/>
      <x:c r="F25" s="14" t="str"/>
      <x:c r="G25" s="14" t="str"/>
      <x:c r="H25" s="14" t="str"/>
      <x:c r="I25" s="14" t="str"/>
      <x:c r="J25" s="14" t="str"/>
      <x:c r="K25" s="14" t="str"/>
      <x:c r="L25" s="14" t="str"/>
    </x:row>
    <x:row r="26">
      <x:c r="A26" s="14" t="str"/>
      <x:c r="B26" s="14" t="str"/>
      <x:c r="C26" s="14" t="str"/>
      <x:c r="D26" s="14" t="str"/>
      <x:c r="E26" s="14" t="str"/>
      <x:c r="F26" s="14" t="str"/>
      <x:c r="G26" s="14" t="str"/>
      <x:c r="H26" s="14" t="str"/>
      <x:c r="I26" s="14" t="str"/>
      <x:c r="J26" s="14" t="str"/>
      <x:c r="K26" s="14" t="str"/>
      <x:c r="L26" s="14" t="str"/>
    </x:row>
    <x:row r="27">
      <x:c r="A27" s="14" t="str"/>
      <x:c r="B27" s="14" t="str"/>
      <x:c r="C27" s="14" t="str"/>
      <x:c r="D27" s="14" t="str"/>
      <x:c r="E27" s="14" t="str"/>
      <x:c r="F27" s="14" t="str"/>
      <x:c r="G27" s="14" t="str"/>
      <x:c r="H27" s="14" t="str"/>
      <x:c r="I27" s="14" t="str"/>
      <x:c r="J27" s="14" t="str"/>
      <x:c r="K27" s="14" t="str"/>
      <x:c r="L27" s="14" t="str"/>
    </x:row>
    <x:row r="28">
      <x:c r="A28" s="14" t="str"/>
      <x:c r="B28" s="14" t="str"/>
      <x:c r="C28" s="14" t="str"/>
      <x:c r="D28" s="14" t="str"/>
      <x:c r="E28" s="14" t="str"/>
      <x:c r="F28" s="14" t="str"/>
      <x:c r="G28" s="14" t="str"/>
      <x:c r="H28" s="14" t="str"/>
      <x:c r="I28" s="14" t="str"/>
      <x:c r="J28" s="14" t="str"/>
      <x:c r="K28" s="14" t="str"/>
      <x:c r="L28" s="14" t="str"/>
    </x:row>
    <x:row r="29">
      <x:c r="A29" s="14" t="str"/>
      <x:c r="B29" s="14" t="str"/>
      <x:c r="C29" s="14" t="str"/>
      <x:c r="D29" s="14" t="str"/>
      <x:c r="E29" s="14" t="str"/>
      <x:c r="F29" s="14" t="str"/>
      <x:c r="G29" s="14" t="str"/>
      <x:c r="H29" s="14" t="str"/>
      <x:c r="I29" s="14" t="str"/>
      <x:c r="J29" s="14" t="str"/>
      <x:c r="K29" s="14" t="str"/>
      <x:c r="L29" s="14" t="str"/>
    </x:row>
    <x:row r="30">
      <x:c r="A30" s="14" t="str"/>
      <x:c r="B30" s="14" t="str"/>
      <x:c r="C30" s="14" t="str"/>
      <x:c r="D30" s="14" t="str"/>
      <x:c r="E30" s="14" t="str"/>
      <x:c r="F30" s="14" t="str"/>
      <x:c r="G30" s="14" t="str"/>
      <x:c r="H30" s="14" t="str"/>
      <x:c r="I30" s="14" t="str"/>
      <x:c r="J30" s="14" t="str"/>
      <x:c r="K30" s="14" t="str"/>
      <x:c r="L30" s="14" t="str"/>
    </x:row>
    <x:row r="31">
      <x:c r="A31" s="14" t="str"/>
      <x:c r="B31" s="14" t="str"/>
      <x:c r="C31" s="14" t="str"/>
      <x:c r="D31" s="14" t="str"/>
      <x:c r="E31" s="14" t="str"/>
      <x:c r="F31" s="14" t="str"/>
      <x:c r="G31" s="14" t="str"/>
      <x:c r="H31" s="14" t="str"/>
      <x:c r="I31" s="14" t="str"/>
      <x:c r="J31" s="14" t="str"/>
      <x:c r="K31" s="14" t="str"/>
      <x:c r="L31" s="14" t="str"/>
    </x:row>
  </x:sheetData>
  <x:dataValidations count="2">
    <x:dataValidation type="list" sqref="J2:J31">
      <x:formula1>"1,2,3,4,5,6,7,8,9,10"</x:formula1>
    </x:dataValidation>
    <x:dataValidation type="list" sqref="L2:L31">
      <x:formula1>"Да,Нет"</x:formula1>
    </x:dataValidation>
  </x:dataValidations>
  <x:pageMargins left="0.7" right="0.7" top="0.75" bottom="0.75" header="0.3" footer="0.3"/>
  <x:tableParts count="1">
    <x:tablePart xmlns:r="http://schemas.openxmlformats.org/officeDocument/2006/relationships" r:id="R5f4e9bc38e8c4c2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329999923706055" hidden="0" customWidth="1"/>
    <x:col min="2" max="2" width="9.779999732971191" hidden="0" customWidth="1"/>
    <x:col min="3" max="3" width="6.889999866485596" hidden="0" customWidth="1"/>
    <x:col min="4" max="4" width="57.779998779296875" hidden="0" customWidth="1"/>
    <x:col min="5" max="5" width="18.889999389648438" hidden="0" customWidth="1"/>
    <x:col min="6" max="6" width="23.329999923706055" hidden="0" customWidth="1"/>
    <x:col min="7" max="7" width="30" hidden="0" customWidth="1"/>
    <x:col min="8" max="8" width="7.21999979019165" hidden="0" customWidth="1"/>
    <x:col min="9" max="9" width="19.440000534057617" hidden="0" customWidth="1"/>
    <x:col min="10" max="10" width="9.109999656677246" hidden="0" customWidth="1"/>
  </x:cols>
  <x:sheetData>
    <x:row r="1" ht="30" customHeight="1">
      <x:c r="A1" s="41" t="str">
        <x:v>TELEGRAM-АРХИВ · @simple_quiz</x:v>
      </x:c>
      <x:c r="B1" s="41"/>
      <x:c r="C1" s="41"/>
      <x:c r="D1" s="41"/>
      <x:c r="E1" s="41"/>
      <x:c r="F1" s="41"/>
      <x:c r="G1" s="41"/>
      <x:c r="H1" s="41"/>
      <x:c r="I1" s="41"/>
      <x:c r="J1" s="41"/>
    </x:row>
    <x:row r="2" ht="34" customHeight="1">
      <x:c r="A2" s="44" t="str">
        <x:v>130 распознанных карточек; 122 новых вопросов добавлено в «Каталог», 8 совпадений отмечено как дубликаты. 114 ответов заполнено.</x:v>
      </x:c>
      <x:c r="B2" s="44"/>
      <x:c r="C2" s="44"/>
      <x:c r="D2" s="44"/>
      <x:c r="E2" s="44"/>
      <x:c r="F2" s="44"/>
      <x:c r="G2" s="44"/>
      <x:c r="H2" s="44"/>
      <x:c r="I2" s="44"/>
      <x:c r="J2" s="44"/>
    </x:row>
    <x:row r="3" ht="24" customHeight="1">
      <x:c r="A3" s="53" t="str">
        <x:v>Telegram ID</x:v>
      </x:c>
      <x:c r="B3" s="53" t="str">
        <x:v>Дата</x:v>
      </x:c>
      <x:c r="C3" s="53" t="str">
        <x:v>Post ID</x:v>
      </x:c>
      <x:c r="D3" s="53" t="str">
        <x:v>Текст вопроса</x:v>
      </x:c>
      <x:c r="E3" s="53" t="str">
        <x:v>Ответ</x:v>
      </x:c>
      <x:c r="F3" s="53" t="str">
        <x:v>Источник</x:v>
      </x:c>
      <x:c r="G3" s="53" t="str">
        <x:v>Медиа</x:v>
      </x:c>
      <x:c r="H3" s="53" t="str">
        <x:v>OCR</x:v>
      </x:c>
      <x:c r="I3" s="53" t="str">
        <x:v>Статус</x:v>
      </x:c>
      <x:c r="J3" s="53" t="str">
        <x:v>Дубликат ID</x:v>
      </x:c>
    </x:row>
    <x:row r="4" ht="72" customHeight="1">
      <x:c r="A4" s="48" t="str">
        <x:v>TG-0006</x:v>
      </x:c>
      <x:c r="B4" s="49" t="n">
        <x:v>45733</x:v>
      </x:c>
      <x:c r="C4" s="48" t="n">
        <x:v>6</x:v>
      </x:c>
      <x:c r="D4" s="50" t="str">
        <x:v>Этот сезон НХЛ - уникальный: домашний матч «Каролины» против «Тампа-Бэй» перенесли из-за НЕГО, а матч «Лос-Анджелеса» против «Калгари» перенесли из-за НИХ. Как иронично. Назовите ЕГО и ИХ.</x:v>
      </x:c>
      <x:c r="E4" s="50" t="str">
        <x:v>Ураган и пожары</x:v>
      </x:c>
      <x:c r="F4" s="50" t="str">
        <x:v>https://t.me/simple_quiz/6</x:v>
      </x:c>
      <x:c r="G4" s="50" t="str">
        <x:v>telegram_archive/media/post_0006_photo_01.jpg</x:v>
      </x:c>
      <x:c r="H4" s="51" t="n">
        <x:v>0.9424</x:v>
      </x:c>
      <x:c r="I4" s="50" t="str">
        <x:v>Ответ подтверждён реакцией канала</x:v>
      </x:c>
      <x:c r="J4" s="48"/>
    </x:row>
    <x:row r="5" ht="72" customHeight="1">
      <x:c r="A5" s="48" t="str">
        <x:v>TG-0007</x:v>
      </x:c>
      <x:c r="B5" s="49" t="n">
        <x:v>45737</x:v>
      </x:c>
      <x:c r="C5" s="48" t="n">
        <x:v>7</x:v>
      </x:c>
      <x:c r="D5" s="50" t="str">
        <x:v>Если ты любитель спорта, то в Америке тебе не удастся сходить на рэп, поп или фолк, зато можно сходить на рок, на ИКС и на ИГРЕК. Назовите ИКС и ИГРЕК. о</x:v>
      </x:c>
      <x:c r="E5" s="50" t="str">
        <x:v>«Юта Джаз» и «Сент-Луис Блюз»</x:v>
      </x:c>
      <x:c r="F5" s="50" t="str">
        <x:v>https://t.me/simple_quiz/7</x:v>
      </x:c>
      <x:c r="G5" s="50" t="str">
        <x:v>telegram_archive/media/post_0007_photo_01.jpg</x:v>
      </x:c>
      <x:c r="H5" s="51" t="n">
        <x:v>0.9414</x:v>
      </x:c>
      <x:c r="I5" s="50" t="str">
        <x:v>Ответ подтверждён реакцией канала</x:v>
      </x:c>
      <x:c r="J5" s="48"/>
    </x:row>
    <x:row r="6" ht="72" customHeight="1">
      <x:c r="A6" s="48" t="str">
        <x:v>TG-0017</x:v>
      </x:c>
      <x:c r="B6" s="49" t="n">
        <x:v>45756</x:v>
      </x:c>
      <x:c r="C6" s="48" t="n">
        <x:v>17</x:v>
      </x:c>
      <x:c r="D6" s="50" t="str">
        <x:v>Рядом с ЭТИМ на футбольных матчах с 2020 года красуется цифра 5, с 2013 года - 4, с 2006 года - 3, с 2000 года - 2. А вообще ЭТО фигурирует в трансляциях некоторых футбольных матчей с 1995 года. О чем речь?</x:v>
      </x:c>
      <x:c r="E6" s="50" t="str">
        <x:v>PS (PlayStation)</x:v>
      </x:c>
      <x:c r="F6" s="50" t="str">
        <x:v>https://t.me/simple_quiz/17</x:v>
      </x:c>
      <x:c r="G6" s="50" t="str">
        <x:v>telegram_archive/media/post_0017_photo_01.jpg</x:v>
      </x:c>
      <x:c r="H6" s="51" t="n">
        <x:v>0.9459</x:v>
      </x:c>
      <x:c r="I6" s="50" t="str">
        <x:v>Ответ подтверждён реакцией канала</x:v>
      </x:c>
      <x:c r="J6" s="48"/>
    </x:row>
    <x:row r="7" ht="72" customHeight="1">
      <x:c r="A7" s="48" t="str">
        <x:v>TG-0019</x:v>
      </x:c>
      <x:c r="B7" s="49" t="n">
        <x:v>45765</x:v>
      </x:c>
      <x:c r="C7" s="48" t="n">
        <x:v>19</x:v>
      </x:c>
      <x:c r="D7" s="50" t="str">
        <x:v>Первая ОНА появились в России в 2001 году. Сейчас ИХ более 40 в Москве и Московской области. Ав 2018 году благодаря паре русских футболистов одна из НИХ на протяжении нескольких месяцев регулярно появлялась в новостных каналах и пабликах. Назовите EE.</x:v>
      </x:c>
      <x:c r="E7" s="50" t="str">
        <x:v>Кофемания</x:v>
      </x:c>
      <x:c r="F7" s="50" t="str">
        <x:v>https://t.me/simple_quiz/19</x:v>
      </x:c>
      <x:c r="G7" s="50" t="str">
        <x:v>telegram_archive/media/post_0019_photo_01.jpg</x:v>
      </x:c>
      <x:c r="H7" s="51" t="n">
        <x:v>0.9548</x:v>
      </x:c>
      <x:c r="I7" s="50" t="str">
        <x:v>Ответ подтверждён реакцией канала</x:v>
      </x:c>
      <x:c r="J7" s="48"/>
    </x:row>
    <x:row r="8" ht="72" customHeight="1">
      <x:c r="A8" s="48" t="str">
        <x:v>TG-0035</x:v>
      </x:c>
      <x:c r="B8" s="49" t="n">
        <x:v>45775</x:v>
      </x:c>
      <x:c r="C8" s="48" t="n">
        <x:v>35</x:v>
      </x:c>
      <x:c r="D8" s="50" t="str">
        <x:v>В одной легендарной московской команде середины 2000-х было два русских спортсмена с редко встречающимися фамилиями. Одна из них дословно означает пузо или желудок. Другая - верхние листы кочана капусты. Впоследствии оба поиграли на другом материке, но доигрывали последние годы карьеры в российских клубах. Назовите фамилии этих спортсменов.</x:v>
      </x:c>
      <x:c r="E8" s="50" t="str">
        <x:v>Моня и Хряпа</x:v>
      </x:c>
      <x:c r="F8" s="50" t="str">
        <x:v>https://t.me/simple_quiz/35</x:v>
      </x:c>
      <x:c r="G8" s="50" t="str">
        <x:v>telegram_archive/media/post_0035_photo_01.jpg</x:v>
      </x:c>
      <x:c r="H8" s="51" t="n">
        <x:v>0.9536</x:v>
      </x:c>
      <x:c r="I8" s="50" t="str">
        <x:v>Ответ подтверждён пользователем</x:v>
      </x:c>
      <x:c r="J8" s="48"/>
    </x:row>
    <x:row r="9" ht="72" customHeight="1">
      <x:c r="A9" s="48" t="str">
        <x:v>TG-0050</x:v>
      </x:c>
      <x:c r="B9" s="49" t="n">
        <x:v>45798</x:v>
      </x:c>
      <x:c r="C9" s="48" t="n">
        <x:v>50</x:v>
      </x:c>
      <x:c r="D9" s="50" t="str">
        <x:v>В треке AJ Tracey 2017 года под названием You Don’t Know Ме упоминается экс-игрок нескольких клубов АПЛ Виктор Ваньяма. Главной звездой баскетбольного «Сан-Антонио» является Виктор Вембаньяма. Помимо схожести имен и фамилий в биографиях этих спортсменов есть еще одно слово, которое их объединяет. Предмет, который обозначает это слово, изобрели еще до нашей эры. В основе этого приспособления - колесико, которое может быть покрыто зубчиками. Назовите это слово.</x:v>
      </x:c>
      <x:c r="E9" s="50" t="str">
        <x:v>Не опубликован в посте</x:v>
      </x:c>
      <x:c r="F9" s="50" t="str">
        <x:v>https://t.me/simple_quiz/50</x:v>
      </x:c>
      <x:c r="G9" s="50" t="str">
        <x:v>telegram_archive/media/post_0050_photo_01.jpg</x:v>
      </x:c>
      <x:c r="H9" s="51" t="n">
        <x:v>0.9524</x:v>
      </x:c>
      <x:c r="I9" s="50" t="str">
        <x:v>Распознано — проверить ответ</x:v>
      </x:c>
      <x:c r="J9" s="48"/>
    </x:row>
    <x:row r="10" ht="72" customHeight="1">
      <x:c r="A10" s="48" t="str">
        <x:v>TG-0127</x:v>
      </x:c>
      <x:c r="B10" s="49" t="n">
        <x:v>45833</x:v>
      </x:c>
      <x:c r="C10" s="48" t="n">
        <x:v>127</x:v>
      </x:c>
      <x:c r="D10" s="50" t="str">
        <x:v>В 2014 году 21-летняя испанка Гарбинье Мугуруса сенсационно выбила из сетки «Ролан Гаррос» Серену Уильямс и добралась до до четвертьфинала турнира «Большого шлема». На сайте Eurosport.ru вышел пост с фактами про Гарбинье. Назывался он так: «Мугуруса, ПРОПУСК». Заголовок - аллюзия на популярную в середине 20 века фразу: она не раз звучала в самом известном фильме про пионеров. Какие два слова мы пропустили в заголовке текста на Eurosport.ru?</x:v>
      </x:c>
      <x:c r="E10" s="50" t="str">
        <x:v>А что вы тут делаете, а?</x:v>
      </x:c>
      <x:c r="F10" s="50" t="str">
        <x:v>https://t.me/simple_quiz/127</x:v>
      </x:c>
      <x:c r="G10" s="50" t="str">
        <x:v>telegram_archive/media/post_0127_photo_01.jpg</x:v>
      </x:c>
      <x:c r="H10" s="51" t="n">
        <x:v>0.9424</x:v>
      </x:c>
      <x:c r="I10" s="50" t="str">
        <x:v>Ответ подтверждён реакцией канала</x:v>
      </x:c>
      <x:c r="J10" s="48"/>
    </x:row>
    <x:row r="11" ht="72" customHeight="1">
      <x:c r="A11" s="48" t="str">
        <x:v>TG-0130</x:v>
      </x:c>
      <x:c r="B11" s="49" t="n">
        <x:v>45834</x:v>
      </x:c>
      <x:c r="C11" s="48" t="n">
        <x:v>130</x:v>
      </x:c>
      <x:c r="D11" s="50" t="str">
        <x:v>Было бы символично, если бы ИКС ИГРЕК играл за ЗЕТ ИКС, но нет: в США он выступал лишь за одну команду. Назовите ИКС. Если вы знаете, что за песня Queen играла в рекламе Coca-Cola, вам, скорее всего, будет проще справиться с этим вопросом.</x:v>
      </x:c>
      <x:c r="E11" s="50" t="str">
        <x:v>Мэджик</x:v>
      </x:c>
      <x:c r="F11" s="50" t="str">
        <x:v>https://t.me/simple_quiz/130</x:v>
      </x:c>
      <x:c r="G11" s="50" t="str">
        <x:v>telegram_archive/media/post_0130_photo_01.jpg</x:v>
      </x:c>
      <x:c r="H11" s="51" t="n">
        <x:v>0.9566</x:v>
      </x:c>
      <x:c r="I11" s="50" t="str">
        <x:v>Ответ подтверждён реакцией канала</x:v>
      </x:c>
      <x:c r="J11" s="48"/>
    </x:row>
    <x:row r="12" ht="72" customHeight="1">
      <x:c r="A12" s="48" t="str">
        <x:v>TG-0141</x:v>
      </x:c>
      <x:c r="B12" s="49" t="n">
        <x:v>45837</x:v>
      </x:c>
      <x:c r="C12" s="48" t="n">
        <x:v>141</x:v>
      </x:c>
      <x:c r="D12" s="50" t="str">
        <x:v>ЭТО есть как минимум в двух экземплярах у каждого профессионального клуба. ЭТО было и в названии одного из клубов НБА, нос 2012 года не фигурирует в нем. О чем речь?</x:v>
      </x:c>
      <x:c r="E12" s="50" t="str">
        <x:v>Джерси</x:v>
      </x:c>
      <x:c r="F12" s="50" t="str">
        <x:v>https://t.me/simple_quiz/141</x:v>
      </x:c>
      <x:c r="G12" s="50" t="str">
        <x:v>telegram_archive/media/post_0141_photo_01.jpg</x:v>
      </x:c>
      <x:c r="H12" s="51" t="n">
        <x:v>0.9559</x:v>
      </x:c>
      <x:c r="I12" s="50" t="str">
        <x:v>Ответ подтверждён реакцией канала</x:v>
      </x:c>
      <x:c r="J12" s="48"/>
    </x:row>
    <x:row r="13" ht="72" customHeight="1">
      <x:c r="A13" s="48" t="str">
        <x:v>TG-0142</x:v>
      </x:c>
      <x:c r="B13" s="49" t="n">
        <x:v>45838</x:v>
      </x:c>
      <x:c r="C13" s="48" t="n">
        <x:v>142</x:v>
      </x:c>
      <x:c r="D13" s="50" t="str">
        <x:v>Назовите команду МФЛ, которая всегда располагается в таблице на 22-м месте.</x:v>
      </x:c>
      <x:c r="E13" s="50" t="str">
        <x:v>Титан</x:v>
      </x:c>
      <x:c r="F13" s="50" t="str">
        <x:v>https://t.me/simple_quiz/142</x:v>
      </x:c>
      <x:c r="G13" s="50" t="str">
        <x:v>telegram_archive/media/post_0142_photo_01.jpg</x:v>
      </x:c>
      <x:c r="H13" s="51" t="n">
        <x:v>0.9526</x:v>
      </x:c>
      <x:c r="I13" s="50" t="str">
        <x:v>Ответ подтверждён реакцией канала</x:v>
      </x:c>
      <x:c r="J13" s="48"/>
    </x:row>
    <x:row r="14" ht="72" customHeight="1">
      <x:c r="A14" s="48" t="str">
        <x:v>TG-0145</x:v>
      </x:c>
      <x:c r="B14" s="49" t="n">
        <x:v>45839</x:v>
      </x:c>
      <x:c r="C14" s="48" t="n">
        <x:v>145</x:v>
      </x:c>
      <x:c r="D14" s="50" t="str">
        <x:v>Один ОН объединяет Зелимхана Бакаева, Федора Смолова и Элдора Шомуродова. Другой ОН ассоциируется с джипом. Третий ОН комментировал команды, к которым имеет отношение второй ОН, сразу в двух дисциплинах. Назовите ЕГО.</x:v>
      </x:c>
      <x:c r="E14" s="50" t="str">
        <x:v>Не опубликован в посте</x:v>
      </x:c>
      <x:c r="F14" s="50" t="str">
        <x:v>https://t.me/simple_quiz/145</x:v>
      </x:c>
      <x:c r="G14" s="50" t="str">
        <x:v>telegram_archive/media/post_0145_photo_01.jpg</x:v>
      </x:c>
      <x:c r="H14" s="51" t="n">
        <x:v>0.951</x:v>
      </x:c>
      <x:c r="I14" s="50" t="str">
        <x:v>Распознано — проверить ответ</x:v>
      </x:c>
      <x:c r="J14" s="48"/>
    </x:row>
    <x:row r="15" ht="72" customHeight="1">
      <x:c r="A15" s="48" t="str">
        <x:v>TG-0157</x:v>
      </x:c>
      <x:c r="B15" s="49" t="n">
        <x:v>45849</x:v>
      </x:c>
      <x:c r="C15" s="48" t="n">
        <x:v>157</x:v>
      </x:c>
      <x:c r="D15" s="50" t="str">
        <x:v>Этот оскорбительный термин применительно к девушкам регулярно вспоминают в русскоязычном твиттере. В одном из олимпийских видов спорта так можно безоценочно назвать его представительниц. Среди олимпийских чемпионок в этом виде спорта в 21 веке - чилийка Франсиска Кроветто, американки Эмбер Инглиш и Ким Роуд, итальянки Диана Бакози и Кьяра Кайнеро, венгерка Диана Игали. Наверное, несправедливо, что некоторым из вас официанты принесли подсказку. Назовите этот термин.</x:v>
      </x:c>
      <x:c r="E15" s="50" t="str">
        <x:v>Тарелочница</x:v>
      </x:c>
      <x:c r="F15" s="50" t="str">
        <x:v>https://t.me/simple_quiz/157</x:v>
      </x:c>
      <x:c r="G15" s="50" t="str">
        <x:v>telegram_archive/media/post_0157_photo_01.jpg</x:v>
      </x:c>
      <x:c r="H15" s="51" t="n">
        <x:v>0.9494</x:v>
      </x:c>
      <x:c r="I15" s="50" t="str">
        <x:v>Ответ подтверждён реакцией канала</x:v>
      </x:c>
      <x:c r="J15" s="48"/>
    </x:row>
    <x:row r="16" ht="72" customHeight="1">
      <x:c r="A16" s="48" t="str">
        <x:v>TG-0178</x:v>
      </x:c>
      <x:c r="B16" s="49" t="n">
        <x:v>45863</x:v>
      </x:c>
      <x:c r="C16" s="48" t="n">
        <x:v>178</x:v>
      </x:c>
      <x:c r="D16" s="50" t="str">
        <x:v>Валентин Серов посвятил краже ИКС не одно полотно: говорят, он написал шесть вариантов картины. Карло Анчелотти вызвал 25 футболистов на первые для него у руля матчи сборной Бразилии. Четыре из них никогда не играли в ИКС. Несмотря на то, что технически вы в ИКС прямо сейчас, некоторые из вас могут похвастаться, что были в ИКС. Назовите ИКС.</x:v>
      </x:c>
      <x:c r="E16" s="50" t="str">
        <x:v>Европа</x:v>
      </x:c>
      <x:c r="F16" s="50" t="str">
        <x:v>https://t.me/simple_quiz/178</x:v>
      </x:c>
      <x:c r="G16" s="50" t="str">
        <x:v>telegram_archive/media/post_0178_photo_01.jpg</x:v>
      </x:c>
      <x:c r="H16" s="51" t="n">
        <x:v>0.9628</x:v>
      </x:c>
      <x:c r="I16" s="50" t="str">
        <x:v>Ответ подтверждён реакцией канала</x:v>
      </x:c>
      <x:c r="J16" s="48"/>
    </x:row>
    <x:row r="17" ht="72" customHeight="1">
      <x:c r="A17" s="48" t="str">
        <x:v>TG-0180</x:v>
      </x:c>
      <x:c r="B17" s="49" t="n">
        <x:v>45865</x:v>
      </x:c>
      <x:c r="C17" s="48" t="n">
        <x:v>180</x:v>
      </x:c>
      <x:c r="D17" s="50" t="str">
        <x:v>В конце 15 века итальянский художник написал картину, на которой было изображено первое событие в жизни АЛЬФЫ. Картина была написана по заказу представителя семьи Медичи. Полотно до сих пор хранится в галерее Уффици. 17 июня 1980 года произошло первое событие в жизни другой АЛЬФЫ. Напишите в ответе название картины.</x:v>
      </x:c>
      <x:c r="E17" s="50" t="str">
        <x:v>«Рождение Венеры»</x:v>
      </x:c>
      <x:c r="F17" s="50" t="str">
        <x:v>https://t.me/simple_quiz/180</x:v>
      </x:c>
      <x:c r="G17" s="50" t="str">
        <x:v>telegram_archive/media/post_0180_photo_01.jpg</x:v>
      </x:c>
      <x:c r="H17" s="51" t="n">
        <x:v>0.9617</x:v>
      </x:c>
      <x:c r="I17" s="50" t="str">
        <x:v>Ответ подтверждён реакцией канала</x:v>
      </x:c>
      <x:c r="J17" s="48"/>
    </x:row>
    <x:row r="18" ht="72" customHeight="1">
      <x:c r="A18" s="48" t="str">
        <x:v>TG-0181</x:v>
      </x:c>
      <x:c r="B18" s="49" t="n">
        <x:v>45866</x:v>
      </x:c>
      <x:c r="C18" s="48" t="n">
        <x:v>181</x:v>
      </x:c>
      <x:c r="D18" s="50" t="str">
        <x:v>В английском языке это слово означает близкого друга, братишку. Если это же слово написать кириллицей, получится некое действие во множественном числе, свидетелем которого можно стать, например, в петанке, дартсе и водном поло. Напишите это слово кириллицей.</x:v>
      </x:c>
      <x:c r="E18" s="50" t="str">
        <x:v>Броски</x:v>
      </x:c>
      <x:c r="F18" s="50" t="str">
        <x:v>https://t.me/simple_quiz/181</x:v>
      </x:c>
      <x:c r="G18" s="50" t="str">
        <x:v>telegram_archive/media/post_0181_photo_01.jpg</x:v>
      </x:c>
      <x:c r="H18" s="51" t="n">
        <x:v>0.9583</x:v>
      </x:c>
      <x:c r="I18" s="50" t="str">
        <x:v>Ответ подтверждён реакцией канала</x:v>
      </x:c>
      <x:c r="J18" s="48"/>
    </x:row>
    <x:row r="19" ht="72" customHeight="1">
      <x:c r="A19" s="48" t="str">
        <x:v>TG-0187</x:v>
      </x:c>
      <x:c r="B19" s="49" t="n">
        <x:v>45867</x:v>
      </x:c>
      <x:c r="C19" s="48" t="n">
        <x:v>187</x:v>
      </x:c>
      <x:c r="D19" s="50" t="str">
        <x:v>У группы Oasis и рэпера Big Baby Tape есть треки с одинаковым названием. Увидев название этих треков, в голову сразу приходит важный для истории НБА город. О каком городе речь?</x:v>
      </x:c>
      <x:c r="E19" s="50" t="str">
        <x:v>Сиэтл</x:v>
      </x:c>
      <x:c r="F19" s="50" t="str">
        <x:v>https://t.me/simple_quiz/187</x:v>
      </x:c>
      <x:c r="G19" s="50" t="str">
        <x:v>telegram_archive/media/post_0187_photo_01.jpg</x:v>
      </x:c>
      <x:c r="H19" s="51" t="n">
        <x:v>0.9603</x:v>
      </x:c>
      <x:c r="I19" s="50" t="str">
        <x:v>Ответ подтверждён реакцией канала</x:v>
      </x:c>
      <x:c r="J19" s="48"/>
    </x:row>
    <x:row r="20" ht="72" customHeight="1">
      <x:c r="A20" s="48" t="str">
        <x:v>TG-0206</x:v>
      </x:c>
      <x:c r="B20" s="49" t="n">
        <x:v>45885</x:v>
      </x:c>
      <x:c r="C20" s="48" t="n">
        <x:v>206</x:v>
      </x:c>
      <x:c r="D20" s="50" t="str">
        <x:v>Российского предпринимателя из Троицка, который открыл бизнес в Сыктывкаре, и линию обороны футбольного клуба «Рома» с 2012 по 2014. год, объединяют два повторяющихся слога. Напишите эти два одинаковых слога.</x:v>
      </x:c>
      <x:c r="E20" s="50" t="str">
        <x:v>Додо</x:v>
      </x:c>
      <x:c r="F20" s="50" t="str">
        <x:v>https://t.me/simple_quiz/206</x:v>
      </x:c>
      <x:c r="G20" s="50" t="str">
        <x:v>telegram_archive/media/post_0206_photo_01.jpg</x:v>
      </x:c>
      <x:c r="H20" s="51" t="n">
        <x:v>0.954</x:v>
      </x:c>
      <x:c r="I20" s="50" t="str">
        <x:v>Ответ подтверждён реакцией канала</x:v>
      </x:c>
      <x:c r="J20" s="48"/>
    </x:row>
    <x:row r="21" ht="72" customHeight="1">
      <x:c r="A21" s="48" t="str">
        <x:v>TG-0207</x:v>
      </x:c>
      <x:c r="B21" s="49" t="n">
        <x:v>45886</x:v>
      </x:c>
      <x:c r="C21" s="48" t="n">
        <x:v>207</x:v>
      </x:c>
      <x:c r="D21" s="50" t="str">
        <x:v>Вот список 12 апостолов: Петр, Андрей, Иаков Зеведеев, Иоанн, Варфоломей, Фома, Матфей, Иаков Алфеев, Иуда Фаддей, Симон Кананит, Иуда Искариот и ИКС. ИКС — фамилия футболиста, который отыграл 27 матчей за московское «Динамо» в РПЛ. Назовите ИКС.</x:v>
      </x:c>
      <x:c r="E21" s="50" t="str">
        <x:v>Не опубликован в посте</x:v>
      </x:c>
      <x:c r="F21" s="50" t="str">
        <x:v>https://t.me/simple_quiz/207</x:v>
      </x:c>
      <x:c r="G21" s="50" t="str">
        <x:v>telegram_archive/media/post_0207_photo_01.jpg</x:v>
      </x:c>
      <x:c r="H21" s="51" t="n">
        <x:v>0.9308</x:v>
      </x:c>
      <x:c r="I21" s="50" t="str">
        <x:v>Распознано — проверить ответ</x:v>
      </x:c>
      <x:c r="J21" s="48"/>
    </x:row>
    <x:row r="22" ht="72" customHeight="1">
      <x:c r="A22" s="48" t="str">
        <x:v>TG-0213</x:v>
      </x:c>
      <x:c r="B22" s="49" t="n">
        <x:v>45890</x:v>
      </x:c>
      <x:c r="C22" s="48" t="n">
        <x:v>213</x:v>
      </x:c>
      <x:c r="D22" s="50" t="str">
        <x:v>В 2019 году в сторисах Sports.ru провели небольшой квиз из трех картинок. На первой была показана картина «Впечатление». Вопрос на картинке был следующим: «Это шедевр ИКСА?» Правильный ответ, конечно, — «Нет». На второй тот же вопрос с тем же ответом дали рядом с картиной «Олимпия». На третьей была фотография из матча «Ливерпуль» - «Бавария». Вопрос на картинке совпадал: «Это шедевр ИКСА?» Правильный ответ - «Да!» В ЛЧ-2018/19 ИКС забил 4 гола. Назовите ИКС двумя словами.</x:v>
      </x:c>
      <x:c r="E22" s="50" t="str">
        <x:v>Садио Мане</x:v>
      </x:c>
      <x:c r="F22" s="50" t="str">
        <x:v>https://t.me/simple_quiz/213</x:v>
      </x:c>
      <x:c r="G22" s="50" t="str">
        <x:v>telegram_archive/media/post_0213_photo_01.jpg</x:v>
      </x:c>
      <x:c r="H22" s="51" t="n">
        <x:v>0.9468</x:v>
      </x:c>
      <x:c r="I22" s="50" t="str">
        <x:v>Ответ подтверждён реакцией канала</x:v>
      </x:c>
      <x:c r="J22" s="48"/>
    </x:row>
    <x:row r="23" ht="72" customHeight="1">
      <x:c r="A23" s="48" t="str">
        <x:v>TG-0238</x:v>
      </x:c>
      <x:c r="B23" s="49" t="n">
        <x:v>45898</x:v>
      </x:c>
      <x:c r="C23" s="48" t="n">
        <x:v>238</x:v>
      </x:c>
      <x:c r="D23" s="50" t="str">
        <x:v>Аксель Крюгер, признанный лучшим игроком «Брюне» в одном из весенних матчей чемпионата Норвегии-2025, в качестве приза получил ИКС. ИКС является важнейшим символом одного из главных религиозных праздников христиан, а английским названием близкого родственника ИКСА можно назвать Майкла Фелпса, Усейна Болта, Тони Хоука и Александра Костылева. Назовите ИКС.</x:v>
      </x:c>
      <x:c r="E23" s="50" t="str">
        <x:v>Не опубликован в посте</x:v>
      </x:c>
      <x:c r="F23" s="50" t="str">
        <x:v>https://t.me/simple_quiz/238</x:v>
      </x:c>
      <x:c r="G23" s="50" t="str">
        <x:v>telegram_archive/media/post_0238_photo_01.jpg</x:v>
      </x:c>
      <x:c r="H23" s="51" t="n">
        <x:v>0.9538</x:v>
      </x:c>
      <x:c r="I23" s="50" t="str">
        <x:v>Распознано — проверить ответ</x:v>
      </x:c>
      <x:c r="J23" s="48"/>
    </x:row>
    <x:row r="24" ht="72" customHeight="1">
      <x:c r="A24" s="48" t="str">
        <x:v>TG-0251</x:v>
      </x:c>
      <x:c r="B24" s="49" t="n">
        <x:v>45903</x:v>
      </x:c>
      <x:c r="C24" s="48" t="n">
        <x:v>251</x:v>
      </x:c>
      <x:c r="D24" s="50" t="str">
        <x:v>В треке Carefree, вышедшем в 2021 году, рэпер Songer занеймдроппил очень много футболистов. В одной из строчек он говорит, что у «Манчестер Сити» есть Рахим Стерлинг, но нет страйкера, поэтому клуб из Манчестера хочет ЕГО. За кем, по мнению Songer, охотился «Сити»?</x:v>
      </x:c>
      <x:c r="E24" s="50" t="str">
        <x:v>Эрлинг Холанд</x:v>
      </x:c>
      <x:c r="F24" s="50" t="str">
        <x:v>https://t.me/simple_quiz/251</x:v>
      </x:c>
      <x:c r="G24" s="50" t="str">
        <x:v>telegram_archive/media/post_0251_photo_01.jpg</x:v>
      </x:c>
      <x:c r="H24" s="51" t="n">
        <x:v>0.956</x:v>
      </x:c>
      <x:c r="I24" s="50" t="str">
        <x:v>Ответ подтверждён реакцией канала</x:v>
      </x:c>
      <x:c r="J24" s="48"/>
    </x:row>
    <x:row r="25" ht="72" customHeight="1">
      <x:c r="A25" s="48" t="str">
        <x:v>TG-0261</x:v>
      </x:c>
      <x:c r="B25" s="49" t="n">
        <x:v>45905</x:v>
      </x:c>
      <x:c r="C25" s="48" t="n">
        <x:v>261</x:v>
      </x:c>
      <x:c r="D25" s="50" t="str">
        <x:v>По состоянию на 2025 год Израиль, Кипр и Армения - единственные члены УЕФА, у которых нет ЭТОГО. О чем речь?</x:v>
      </x:c>
      <x:c r="E25" s="50" t="str">
        <x:v>Нахождение на территории Европы</x:v>
      </x:c>
      <x:c r="F25" s="50" t="str">
        <x:v>https://t.me/simple_quiz/261</x:v>
      </x:c>
      <x:c r="G25" s="50" t="str">
        <x:v>telegram_archive/media/post_0261_photo_01.jpg</x:v>
      </x:c>
      <x:c r="H25" s="51" t="n">
        <x:v>0.9191</x:v>
      </x:c>
      <x:c r="I25" s="50" t="str">
        <x:v>Ответ подтверждён реакцией канала</x:v>
      </x:c>
      <x:c r="J25" s="48"/>
    </x:row>
    <x:row r="26" ht="72" customHeight="1">
      <x:c r="A26" s="48" t="str">
        <x:v>TG-0262</x:v>
      </x:c>
      <x:c r="B26" s="49" t="n">
        <x:v>45905</x:v>
      </x:c>
      <x:c r="C26" s="48" t="n">
        <x:v>262</x:v>
      </x:c>
      <x:c r="D26" s="50" t="str">
        <x:v>В сезоне-2025/26 в АПЛ их 7, в Чемпионшипе — 3, в английской Лиге 1 - 2, ав Лиге 2-1. О чем речь?</x:v>
      </x:c>
      <x:c r="E26" s="50" t="str">
        <x:v>Клубы из Лондона</x:v>
      </x:c>
      <x:c r="F26" s="50" t="str">
        <x:v>https://t.me/simple_quiz/262</x:v>
      </x:c>
      <x:c r="G26" s="50" t="str">
        <x:v>telegram_archive/media/post_0262_photo_01.jpg</x:v>
      </x:c>
      <x:c r="H26" s="51" t="n">
        <x:v>0.8598</x:v>
      </x:c>
      <x:c r="I26" s="50" t="str">
        <x:v>Ответ подтверждён реакцией канала</x:v>
      </x:c>
      <x:c r="J26" s="48"/>
    </x:row>
    <x:row r="27" ht="72" customHeight="1">
      <x:c r="A27" s="48" t="str">
        <x:v>TG-0263</x:v>
      </x:c>
      <x:c r="B27" s="49" t="n">
        <x:v>45905</x:v>
      </x:c>
      <x:c r="C27" s="48" t="n">
        <x:v>263</x:v>
      </x:c>
      <x:c r="D27" s="50" t="str">
        <x:v>829 7” Sf о® Этот футболист провел всего год в «Дженоз», а потом укатил в Англию и следующие 8 лет играл исключительно в английских клубах. По окончании карьеры он тренировал клубы из восьми разных стран (и, в частности, работал в двух командах РПЛ). Аниме, в названии которого аж дважды содержится имя этого футболиста, прямо сейчас можно посмотреть в «Амедиатеке», а первые серии второго сезона летом показывали в московских кинотеатрах. Назовите этого футболиста. т WIN BOX od</x:v>
      </x:c>
      <x:c r="E27" s="50" t="str">
        <x:v>Дан Петреску</x:v>
      </x:c>
      <x:c r="F27" s="50" t="str">
        <x:v>https://t.me/simple_quiz/263</x:v>
      </x:c>
      <x:c r="G27" s="50" t="str">
        <x:v>telegram_archive/media/post_0263_photo_01.jpg</x:v>
      </x:c>
      <x:c r="H27" s="51" t="n">
        <x:v>0.9124</x:v>
      </x:c>
      <x:c r="I27" s="50" t="str">
        <x:v>Ответ подтверждён реакцией канала</x:v>
      </x:c>
      <x:c r="J27" s="48"/>
    </x:row>
    <x:row r="28" ht="72" customHeight="1">
      <x:c r="A28" s="48" t="str">
        <x:v>TG-0264</x:v>
      </x:c>
      <x:c r="B28" s="49" t="n">
        <x:v>45905</x:v>
      </x:c>
      <x:c r="C28" s="48" t="n">
        <x:v>264</x:v>
      </x:c>
      <x:c r="D28" s="50" t="str">
        <x:v>9 2? Sf o° P Если записать названия клубов Ла Лиги с помощью элементов периодической таблицы, это получится с «Осасуной» (Os, As, Ц, Ма), «Бетисом» (Re, Al, Be, Ti, $) иеще одним клубом. В 2020 году этот клуб на один матч убрал из своего названия 4 буквы, оставив лишь Te, что с испанского переводятся как «вера», а в периодической таблице находятся на 26-м месте. Назовите этот клуб. — WIN вох ool</x:v>
      </x:c>
      <x:c r="E28" s="50" t="str">
        <x:v>Хетафе</x:v>
      </x:c>
      <x:c r="F28" s="50" t="str">
        <x:v>https://t.me/simple_quiz/264</x:v>
      </x:c>
      <x:c r="G28" s="50" t="str">
        <x:v>telegram_archive/media/post_0264_photo_01.jpg</x:v>
      </x:c>
      <x:c r="H28" s="51" t="n">
        <x:v>0.9046</x:v>
      </x:c>
      <x:c r="I28" s="50" t="str">
        <x:v>Ответ подтверждён реакцией канала</x:v>
      </x:c>
      <x:c r="J28" s="48"/>
    </x:row>
    <x:row r="29" ht="72" customHeight="1">
      <x:c r="A29" s="48" t="str">
        <x:v>TG-0265</x:v>
      </x:c>
      <x:c r="B29" s="49" t="n">
        <x:v>45905</x:v>
      </x:c>
      <x:c r="C29" s="48" t="n">
        <x:v>265</x:v>
      </x:c>
      <x:c r="D29" s="50" t="str">
        <x:v>9 2? ve Va A о® АЛЬФА - вещь, которую видел или даже держал в руках каждый из вас. Один килограмм вяленых АЛЬФ можно найти на маркетплейсах за 3500 рублей, в то же время мешок АЛЬФ оценивают всего в 500 рублей. АЛЬФУ можно найти и на эмблеме одного из клубов Бундеслиги. Понять, какая именно АЛЬФА на эмблеме, просто: небольшой размер, округлая форма и направление вверх. Назовите АЛЬФУ. ее cnunmnn WIN BOX ool</x:v>
      </x:c>
      <x:c r="E29" s="50" t="str">
        <x:v>Кедровая шишка</x:v>
      </x:c>
      <x:c r="F29" s="50" t="str">
        <x:v>https://t.me/simple_quiz/265</x:v>
      </x:c>
      <x:c r="G29" s="50" t="str">
        <x:v>telegram_archive/media/post_0265_photo_01.jpg</x:v>
      </x:c>
      <x:c r="H29" s="51" t="n">
        <x:v>0.8695</x:v>
      </x:c>
      <x:c r="I29" s="50" t="str">
        <x:v>Ответ подтверждён реакцией канала</x:v>
      </x:c>
      <x:c r="J29" s="48"/>
    </x:row>
    <x:row r="30" ht="72" customHeight="1">
      <x:c r="A30" s="48" t="str">
        <x:v>TG-0285</x:v>
      </x:c>
      <x:c r="B30" s="49" t="n">
        <x:v>45922</x:v>
      </x:c>
      <x:c r="C30" s="48" t="n">
        <x:v>285</x:v>
      </x:c>
      <x:c r="D30" s="50" t="str">
        <x:v>Надпись на футболке этого футболиста в зависимости от эпохи и культурного контекста может означать как устройство для воспроизведения видео, так и последовательность чисел 5, 1, 500, 1, 100. Назовите этого футболиста.</x:v>
      </x:c>
      <x:c r="E30" s="50" t="str">
        <x:v>Неманья Видич</x:v>
      </x:c>
      <x:c r="F30" s="50" t="str">
        <x:v>https://t.me/simple_quiz/285</x:v>
      </x:c>
      <x:c r="G30" s="50" t="str">
        <x:v>telegram_archive/media/post_0285_photo_01.jpg</x:v>
      </x:c>
      <x:c r="H30" s="51" t="n">
        <x:v>0.9583</x:v>
      </x:c>
      <x:c r="I30" s="50" t="str">
        <x:v>Ответ подтверждён реакцией канала</x:v>
      </x:c>
      <x:c r="J30" s="48"/>
    </x:row>
    <x:row r="31" ht="72" customHeight="1">
      <x:c r="A31" s="48" t="str">
        <x:v>TG-0286</x:v>
      </x:c>
      <x:c r="B31" s="49" t="n">
        <x:v>45922</x:v>
      </x:c>
      <x:c r="C31" s="48" t="n">
        <x:v>286</x:v>
      </x:c>
      <x:c r="D31" s="50" t="str">
        <x:v>Футбольный тренер Антон Михашенок в подкасте Cappucino &amp; Catenaccio объяснил, что с середины 2000-х по середину 2010-х скауты отдавали футболистам с определенной особенностью большее предпочтение, чем другим. «Это называется bias - скаутам при просмотре матча проще отличать игрока по какому-то признаку, и если они ориентировались только на свои глаза, то выделяли определенных футболистов», — уточнил журналист Вадим Лукомский. Михашенок описал этот фактор каламбуром из одного слова и усмехнулся, что в этот период все футболисты начали дословно это делать ТАК. Напишите, что такое ТАК, если это наречие из девяти букв.</x:v>
      </x:c>
      <x:c r="E31" s="50" t="str">
        <x:v>Не опубликован в посте</x:v>
      </x:c>
      <x:c r="F31" s="50" t="str">
        <x:v>https://t.me/simple_quiz/286</x:v>
      </x:c>
      <x:c r="G31" s="50" t="str">
        <x:v>telegram_archive/media/post_0286_photo_01.jpg</x:v>
      </x:c>
      <x:c r="H31" s="51" t="n">
        <x:v>0.9522</x:v>
      </x:c>
      <x:c r="I31" s="50" t="str">
        <x:v>Распознано — проверить ответ</x:v>
      </x:c>
      <x:c r="J31" s="48"/>
    </x:row>
    <x:row r="32" ht="72" customHeight="1">
      <x:c r="A32" s="48" t="str">
        <x:v>TG-0291</x:v>
      </x:c>
      <x:c r="B32" s="49" t="n">
        <x:v>45924</x:v>
      </x:c>
      <x:c r="C32" s="48" t="n">
        <x:v>291</x:v>
      </x:c>
      <x:c r="D32" s="50" t="str">
        <x:v>ОМЕГА - локально культовый российский спортсмен не только благодаря результатам, но и благодаря ассоциации с трехзначным четным числом. Как только ты захотел спеть или сыграть музыкальное произведение с кем-то, ОМЕГА перестает быть ОМЕГОИ. Назовите ОМЕГУ.</x:v>
      </x:c>
      <x:c r="E32" s="50" t="str">
        <x:v>Соло 322</x:v>
      </x:c>
      <x:c r="F32" s="50" t="str">
        <x:v>https://t.me/simple_quiz/291</x:v>
      </x:c>
      <x:c r="G32" s="50" t="str">
        <x:v>telegram_archive/media/post_0291_photo_01.jpg</x:v>
      </x:c>
      <x:c r="H32" s="51" t="n">
        <x:v>0.9358</x:v>
      </x:c>
      <x:c r="I32" s="50" t="str">
        <x:v>Ответ подтверждён реакцией канала</x:v>
      </x:c>
      <x:c r="J32" s="48"/>
    </x:row>
    <x:row r="33" ht="72" customHeight="1">
      <x:c r="A33" s="48" t="str">
        <x:v>TG-0294</x:v>
      </x:c>
      <x:c r="B33" s="49" t="n">
        <x:v>45926</x:v>
      </x:c>
      <x:c r="C33" s="48" t="n">
        <x:v>294</x:v>
      </x:c>
      <x:c r="D33" s="50" t="str">
        <x:v>Песня с названием «ИКС» вышла на альбоме 1999 года. 19 лет спустя та же группа выпустила песню «В ИКСЕ». Поклонники ИКСА поют ее на трибунах намного чаще. Назовите ИКС.</x:v>
      </x:c>
      <x:c r="E33" s="50" t="str">
        <x:v>Зенит</x:v>
      </x:c>
      <x:c r="F33" s="50" t="str">
        <x:v>https://t.me/simple_quiz/294</x:v>
      </x:c>
      <x:c r="G33" s="50" t="str">
        <x:v>telegram_archive/media/post_0294_photo_01.jpg</x:v>
      </x:c>
      <x:c r="H33" s="51" t="n">
        <x:v>0.962</x:v>
      </x:c>
      <x:c r="I33" s="50" t="str">
        <x:v>Ответ подтверждён реакцией канала</x:v>
      </x:c>
      <x:c r="J33" s="48"/>
    </x:row>
    <x:row r="34" ht="72" customHeight="1">
      <x:c r="A34" s="48" t="str">
        <x:v>TG-0301</x:v>
      </x:c>
      <x:c r="B34" s="49" t="n">
        <x:v>45933</x:v>
      </x:c>
      <x:c r="C34" s="48" t="n">
        <x:v>301</x:v>
      </x:c>
      <x:c r="D34" s="50" t="str">
        <x:v>Из некоторых сокращений команд НХЛ получается слово на английском. Так, сокращение «Питтсбурга» — PIT — переводится как «яма», а сокращение «Сиэтла» - SEA - переводится как «море». Сокращения сразу двух клубов НХЛ в переводе означают транспортные средства. Назовите эти транспортные средства.</x:v>
      </x:c>
      <x:c r="E34" s="50" t="str">
        <x:v>Car и van</x:v>
      </x:c>
      <x:c r="F34" s="50" t="str">
        <x:v>https://t.me/simple_quiz/301</x:v>
      </x:c>
      <x:c r="G34" s="50" t="str">
        <x:v>telegram_archive/media/post_0301_photo_01.jpg</x:v>
      </x:c>
      <x:c r="H34" s="51" t="n">
        <x:v>0.9449</x:v>
      </x:c>
      <x:c r="I34" s="50" t="str">
        <x:v>Ответ подтверждён реакцией канала</x:v>
      </x:c>
      <x:c r="J34" s="48"/>
    </x:row>
    <x:row r="35" ht="72" customHeight="1">
      <x:c r="A35" s="48" t="str">
        <x:v>TG-0302</x:v>
      </x:c>
      <x:c r="B35" s="49" t="n">
        <x:v>45934</x:v>
      </x:c>
      <x:c r="C35" s="48" t="n">
        <x:v>302</x:v>
      </x:c>
      <x:c r="D35" s="50" t="str">
        <x:v>В стандартной клавиатуре Windows 104 клавиши. Одна из них практически не используется в играх — в том числе и в той серии, название которой иллюстрирует. Например, в версии видеоигры 2021 года этой клавиши не было, а в версии 2025 года она по умолчанию обозначала «Extra Action 1». О какой клавише речь?</x:v>
      </x:c>
      <x:c r="E35" s="50" t="str">
        <x:v>F1</x:v>
      </x:c>
      <x:c r="F35" s="50" t="str">
        <x:v>https://t.me/simple_quiz/302</x:v>
      </x:c>
      <x:c r="G35" s="50" t="str">
        <x:v>telegram_archive/media/post_0302_photo_01.jpg</x:v>
      </x:c>
      <x:c r="H35" s="51" t="n">
        <x:v>0.9565</x:v>
      </x:c>
      <x:c r="I35" s="50" t="str">
        <x:v>Ответ подтверждён реакцией канала</x:v>
      </x:c>
      <x:c r="J35" s="48"/>
    </x:row>
    <x:row r="36" ht="72" customHeight="1">
      <x:c r="A36" s="48" t="str">
        <x:v>TG-0320</x:v>
      </x:c>
      <x:c r="B36" s="49" t="n">
        <x:v>45941</x:v>
      </x:c>
      <x:c r="C36" s="48" t="n">
        <x:v>320</x:v>
      </x:c>
      <x:c r="D36" s="50" t="str">
        <x:v>Псевдоним этого инди-исполнителя состоит из трех слов. Последние два описывают процесс, первое — ИКС: мужское имя в уменьшительной форме. Один из его самых популярных треков - «Волна». Также ИКС - разговорный синоним слова «команда». Назовите ИКС.</x:v>
      </x:c>
      <x:c r="E36" s="50" t="str">
        <x:v>Тима</x:v>
      </x:c>
      <x:c r="F36" s="50" t="str">
        <x:v>https://t.me/simple_quiz/320</x:v>
      </x:c>
      <x:c r="G36" s="50" t="str">
        <x:v>telegram_archive/media/post_0320_photo_01.jpg</x:v>
      </x:c>
      <x:c r="H36" s="51" t="n">
        <x:v>0.9469</x:v>
      </x:c>
      <x:c r="I36" s="50" t="str">
        <x:v>Ответ подтверждён реакцией канала</x:v>
      </x:c>
      <x:c r="J36" s="48"/>
    </x:row>
    <x:row r="37" ht="72" customHeight="1">
      <x:c r="A37" s="48" t="str">
        <x:v>TG-0321</x:v>
      </x:c>
      <x:c r="B37" s="49" t="n">
        <x:v>45942</x:v>
      </x:c>
      <x:c r="C37" s="48" t="n">
        <x:v>321</x:v>
      </x:c>
      <x:c r="D37" s="50" t="str">
        <x:v>В 2022 году Василий Уткин говорил, что по утрам он обычно писал тексты, смотрел кино и даже делал зарядку. «Вы, наверное, удивитесь, но у меня дома есть ОНИ. И я ими пользуюсь по назначению», — рассказывал Василий. В отличие отлирического героя группы «Кровосток»: он пользовался ЕЙ не по назначению.</x:v>
      </x:c>
      <x:c r="E37" s="50" t="str">
        <x:v>Гантели</x:v>
      </x:c>
      <x:c r="F37" s="50" t="str">
        <x:v>https://t.me/simple_quiz/321</x:v>
      </x:c>
      <x:c r="G37" s="50" t="str">
        <x:v>telegram_archive/media/post_0321_photo_01.jpg</x:v>
      </x:c>
      <x:c r="H37" s="51" t="n">
        <x:v>0.9582</x:v>
      </x:c>
      <x:c r="I37" s="50" t="str">
        <x:v>Ответ подтверждён реакцией канала</x:v>
      </x:c>
      <x:c r="J37" s="48"/>
    </x:row>
    <x:row r="38" ht="72" customHeight="1">
      <x:c r="A38" s="48" t="str">
        <x:v>TG-0325</x:v>
      </x:c>
      <x:c r="B38" s="49" t="n">
        <x:v>45945</x:v>
      </x:c>
      <x:c r="C38" s="48" t="n">
        <x:v>325</x:v>
      </x:c>
      <x:c r="D38" s="50" t="str">
        <x:v>Если на северо-западе Англии самые известные они - красные, то в Северной Каролине самые известные они - синие. О ком идет речь?</x:v>
      </x:c>
      <x:c r="E38" s="50" t="str">
        <x:v>Не опубликован в посте</x:v>
      </x:c>
      <x:c r="F38" s="50" t="str">
        <x:v>https://t.me/simple_quiz/325</x:v>
      </x:c>
      <x:c r="G38" s="50" t="str">
        <x:v>telegram_archive/media/post_0325_photo_01.jpg</x:v>
      </x:c>
      <x:c r="H38" s="51" t="n">
        <x:v>0.9531</x:v>
      </x:c>
      <x:c r="I38" s="50" t="str">
        <x:v>Распознано — проверить ответ</x:v>
      </x:c>
      <x:c r="J38" s="48"/>
    </x:row>
    <x:row r="39" ht="72" customHeight="1">
      <x:c r="A39" s="48" t="str">
        <x:v>TG-0326</x:v>
      </x:c>
      <x:c r="B39" s="49" t="n">
        <x:v>45946</x:v>
      </x:c>
      <x:c r="C39" s="48" t="n">
        <x:v>326</x:v>
      </x:c>
      <x:c r="D39" s="50" t="str">
        <x:v>В матчах ЦСКА можно стать свидетелем математического оксюморона. Его можно описать словосочетанием «ИКС ИГРЕКА». ИКС - часть фанатского сленга, а ИГРЕК - прозвище одного из футболистов ЦСКА. Назовите словосочетание, которое мы загадали.</x:v>
      </x:c>
      <x:c r="E39" s="50" t="str">
        <x:v>Угол круга</x:v>
      </x:c>
      <x:c r="F39" s="50" t="str">
        <x:v>https://t.me/simple_quiz/326</x:v>
      </x:c>
      <x:c r="G39" s="50" t="str">
        <x:v>telegram_archive/media/post_0326_photo_01.jpg</x:v>
      </x:c>
      <x:c r="H39" s="51" t="n">
        <x:v>0.9452</x:v>
      </x:c>
      <x:c r="I39" s="50" t="str">
        <x:v>Ответ подтверждён реакцией канала</x:v>
      </x:c>
      <x:c r="J39" s="48"/>
    </x:row>
    <x:row r="40" ht="72" customHeight="1">
      <x:c r="A40" s="48" t="str">
        <x:v>TG-0327</x:v>
      </x:c>
      <x:c r="B40" s="49" t="n">
        <x:v>45948</x:v>
      </x:c>
      <x:c r="C40" s="48" t="n">
        <x:v>327</x:v>
      </x:c>
      <x:c r="D40" s="50" t="str">
        <x:v>Все мы подписываемся на блогеров или медиа в надежде получить кое-что качественное. ЭТОТ ИГРОК отличается от кое-чего наличием одной гласной буквы. Был ли ОН качественным - = вопрос дискуссионный, но 69 матчей за © 7 «Баварию» и 94 - за «Бордо» он провел О каком игроке идет речь? = i</x:v>
      </x:c>
      <x:c r="E40" s="50" t="str">
        <x:v>Контенто</x:v>
      </x:c>
      <x:c r="F40" s="50" t="str">
        <x:v>https://t.me/simple_quiz/327</x:v>
      </x:c>
      <x:c r="G40" s="50" t="str">
        <x:v>telegram_archive/media/post_0327_photo_01.jpg</x:v>
      </x:c>
      <x:c r="H40" s="51" t="n">
        <x:v>0.8689</x:v>
      </x:c>
      <x:c r="I40" s="50" t="str">
        <x:v>Ответ подтверждён реакцией канала</x:v>
      </x:c>
      <x:c r="J40" s="48"/>
    </x:row>
    <x:row r="41" ht="72" customHeight="1">
      <x:c r="A41" s="48" t="str">
        <x:v>TG-0330</x:v>
      </x:c>
      <x:c r="B41" s="49" t="n">
        <x:v>45949</x:v>
      </x:c>
      <x:c r="C41" s="48" t="n">
        <x:v>330</x:v>
      </x:c>
      <x:c r="D41" s="50" t="str">
        <x:v>ИКС - российский бренд, который существует с 1995 года. Он специализируется на кетчупах, томатных пастах и уксусах. Сходить на ИКС у вас получится в НФЛ и MLB и не получится - в НХЛ, НБА и MLS. Назовите ИКС.</x:v>
      </x:c>
      <x:c r="E41" s="50" t="str">
        <x:v>Балтимор</x:v>
      </x:c>
      <x:c r="F41" s="50" t="str">
        <x:v>https://t.me/simple_quiz/330</x:v>
      </x:c>
      <x:c r="G41" s="50" t="str">
        <x:v>telegram_archive/media/post_0330_photo_01.jpg</x:v>
      </x:c>
      <x:c r="H41" s="51" t="n">
        <x:v>0.9414</x:v>
      </x:c>
      <x:c r="I41" s="50" t="str">
        <x:v>Ответ подтверждён реакцией канала</x:v>
      </x:c>
      <x:c r="J41" s="48"/>
    </x:row>
    <x:row r="42" ht="72" customHeight="1">
      <x:c r="A42" s="48" t="str">
        <x:v>TG-0345</x:v>
      </x:c>
      <x:c r="B42" s="49" t="n">
        <x:v>45959</x:v>
      </x:c>
      <x:c r="C42" s="48" t="n">
        <x:v>345</x:v>
      </x:c>
      <x:c r="D42" s="50" t="str">
        <x:v>Этот испанский клуб назван в честь римского аналога древнегреческого героя. С 1952 года неизменным атрибутом логотипа этой команды является силуэт мужской головы с лавровым венком. В последний раз клуб играл в Ла Лиге в сезоне-2010/1, в предпоследний - в сезоне-1996/97. Назовите этот клуб.</x:v>
      </x:c>
      <x:c r="E42" s="50" t="str">
        <x:v>Не опубликован в посте</x:v>
      </x:c>
      <x:c r="F42" s="50" t="str">
        <x:v>https://t.me/simple_quiz/345</x:v>
      </x:c>
      <x:c r="G42" s="50" t="str">
        <x:v>telegram_archive/media/post_0345_photo_01.jpg</x:v>
      </x:c>
      <x:c r="H42" s="51" t="n">
        <x:v>0.9497</x:v>
      </x:c>
      <x:c r="I42" s="50" t="str">
        <x:v>Распознано — проверить ответ</x:v>
      </x:c>
      <x:c r="J42" s="48"/>
    </x:row>
    <x:row r="43" ht="72" customHeight="1">
      <x:c r="A43" s="48" t="str">
        <x:v>TG-0349</x:v>
      </x:c>
      <x:c r="B43" s="49" t="n">
        <x:v>45961</x:v>
      </x:c>
      <x:c r="C43" s="48" t="n">
        <x:v>349</x:v>
      </x:c>
      <x:c r="D43" s="50" t="str">
        <x:v>ИКС - автор знаменитых полотен «Эдемский сад с грехопадением человека», «Воздвижение креста» и «Венера и Адонис». Другой ИКС провел 19 сезонов в «Формуле-1», одержал Tl побед и 68 раз поднимался на подиум. Назовите ИКС.</x:v>
      </x:c>
      <x:c r="E43" s="50" t="str">
        <x:v>Не опубликован в посте</x:v>
      </x:c>
      <x:c r="F43" s="50" t="str">
        <x:v>https://t.me/simple_quiz/349</x:v>
      </x:c>
      <x:c r="G43" s="50" t="str">
        <x:v>telegram_archive/media/post_0349_photo_01.jpg</x:v>
      </x:c>
      <x:c r="H43" s="51" t="n">
        <x:v>0.9524</x:v>
      </x:c>
      <x:c r="I43" s="50" t="str">
        <x:v>Распознано — проверить ответ</x:v>
      </x:c>
      <x:c r="J43" s="48"/>
    </x:row>
    <x:row r="44" ht="72" customHeight="1">
      <x:c r="A44" s="48" t="str">
        <x:v>TG-0355</x:v>
      </x:c>
      <x:c r="B44" s="49" t="n">
        <x:v>45963</x:v>
      </x:c>
      <x:c r="C44" s="48" t="n">
        <x:v>355</x:v>
      </x:c>
      <x:c r="D44" s="50" t="str">
        <x:v>Когда хоккеиста Максима Афиногенова спросили про АЛЬФЫ, которые летят на лед во время матчей его команды, он ответил, что подобное встречается и в НХЛ, и привел пример с традицией в «Детройте» кидать на лед осьминога. Правда, если осьминог для «Ред Уингс» — победный символ, то АЛЬФА - оскорбление конкретной команды. Про что спросили после матча Макса Афиногенова?</x:v>
      </x:c>
      <x:c r="E44" s="50" t="str">
        <x:v>Сосиски</x:v>
      </x:c>
      <x:c r="F44" s="50" t="str">
        <x:v>https://t.me/simple_quiz/355</x:v>
      </x:c>
      <x:c r="G44" s="50" t="str">
        <x:v>telegram_archive/media/post_0355_photo_01.jpg</x:v>
      </x:c>
      <x:c r="H44" s="51" t="n">
        <x:v>0.9544</x:v>
      </x:c>
      <x:c r="I44" s="50" t="str">
        <x:v>Ответ подтверждён реакцией канала</x:v>
      </x:c>
      <x:c r="J44" s="48"/>
    </x:row>
    <x:row r="45" ht="72" customHeight="1">
      <x:c r="A45" s="48" t="str">
        <x:v>TG-0356</x:v>
      </x:c>
      <x:c r="B45" s="49" t="n">
        <x:v>45965</x:v>
      </x:c>
      <x:c r="C45" s="48" t="n">
        <x:v>356</x:v>
      </x:c>
      <x:c r="D45" s="50" t="str">
        <x:v>Несколько лет назад в интернете стало вирусным изображение одного ИКСа и Криштиану Роналду. Глядя на него, трудно поверить, что «ОМЕГА» ИКСА случилось позже - примерно через 308 дней после Роналду и через 474. года после «ОМЕГИ ИКСА» Микеланджело. Назовите, что такое ОМЕГА ИКСА.</x:v>
      </x:c>
      <x:c r="E45" s="50" t="str">
        <x:v>«Сотворение Адама»</x:v>
      </x:c>
      <x:c r="F45" s="50" t="str">
        <x:v>https://t.me/simple_quiz/356</x:v>
      </x:c>
      <x:c r="G45" s="50" t="str">
        <x:v>telegram_archive/media/post_0356_photo_01.jpg</x:v>
      </x:c>
      <x:c r="H45" s="51" t="n">
        <x:v>0.9554</x:v>
      </x:c>
      <x:c r="I45" s="50" t="str">
        <x:v>Ответ подтверждён реакцией канала</x:v>
      </x:c>
      <x:c r="J45" s="48"/>
    </x:row>
    <x:row r="46" ht="72" customHeight="1">
      <x:c r="A46" s="48" t="str">
        <x:v>TG-0367</x:v>
      </x:c>
      <x:c r="B46" s="49" t="n">
        <x:v>45967</x:v>
      </x:c>
      <x:c r="C46" s="48" t="n">
        <x:v>367</x:v>
      </x:c>
      <x:c r="D46" s="50" t="str">
        <x:v>Основное время семи матчей ЧМ-2018 закончилось со счетом, который можно записать, используя лишь имя одного из древних богов. Один из этих семи матчей, уверен, смотрел практически каждый из вас. Напишите счет этих матчей, используя лишь имя бога, но столько раз, сколько посчитаете нужным.</x:v>
      </x:c>
      <x:c r="E46" s="50" t="str">
        <x:v>1:1</x:v>
      </x:c>
      <x:c r="F46" s="50" t="str">
        <x:v>https://t.me/simple_quiz/367</x:v>
      </x:c>
      <x:c r="G46" s="50" t="str">
        <x:v>telegram_archive/media/post_0367_photo_01.jpg</x:v>
      </x:c>
      <x:c r="H46" s="51" t="n">
        <x:v>0.9567</x:v>
      </x:c>
      <x:c r="I46" s="50" t="str">
        <x:v>Ответ подтверждён реакцией канала</x:v>
      </x:c>
      <x:c r="J46" s="48"/>
    </x:row>
    <x:row r="47" ht="72" customHeight="1">
      <x:c r="A47" s="48" t="str">
        <x:v>TG-0371</x:v>
      </x:c>
      <x:c r="B47" s="49" t="n">
        <x:v>45971</x:v>
      </x:c>
      <x:c r="C47" s="48" t="n">
        <x:v>371</x:v>
      </x:c>
      <x:c r="D47" s="50" t="str">
        <x:v>С середины 2010-х несложно получить ретвит от одного из комментаторов Eurosport: достаточно сфотографировать автомобиль с этим трехзначным номером и отметить одного из комментаторов. Он почти всегда ретвитит фото с подобными номерами. Назовите трехзначное число, о котором мы рассказали в предыдущем абзаце.</x:v>
      </x:c>
      <x:c r="E47" s="50" t="str">
        <x:v>147</x:v>
      </x:c>
      <x:c r="F47" s="50" t="str">
        <x:v>https://t.me/simple_quiz/371</x:v>
      </x:c>
      <x:c r="G47" s="50" t="str">
        <x:v>telegram_archive/media/post_0371_photo_01.jpg</x:v>
      </x:c>
      <x:c r="H47" s="51" t="n">
        <x:v>0.9549</x:v>
      </x:c>
      <x:c r="I47" s="50" t="str">
        <x:v>Ответ подтверждён реакцией канала</x:v>
      </x:c>
      <x:c r="J47" s="48"/>
    </x:row>
    <x:row r="48" ht="72" customHeight="1">
      <x:c r="A48" s="48" t="str">
        <x:v>TG-0374</x:v>
      </x:c>
      <x:c r="B48" s="49" t="n">
        <x:v>45974</x:v>
      </x:c>
      <x:c r="C48" s="48" t="n">
        <x:v>374</x:v>
      </x:c>
      <x:c r="D48" s="50" t="str">
        <x:v>На «Википедии» можно найти свыше 30 различных ИКСОВ: это, например, и город в Калифорнии, и столица острова Тенерифе, и крупнейший город Боливии. Но мы помним другого ИКСА: того, что играл за «Баварию», «Манчестер Сити», «Блэкберн», «Малагу» и «Бетис». А еще - за мексиканский клуб, название которого ну очень ему подходит. Назовите ИКС.</x:v>
      </x:c>
      <x:c r="E48" s="50" t="str">
        <x:v>Санта-Крус</x:v>
      </x:c>
      <x:c r="F48" s="50" t="str">
        <x:v>https://t.me/simple_quiz/374</x:v>
      </x:c>
      <x:c r="G48" s="50" t="str">
        <x:v>telegram_archive/media/post_0374_photo_01.jpg</x:v>
      </x:c>
      <x:c r="H48" s="51" t="n">
        <x:v>0.9548</x:v>
      </x:c>
      <x:c r="I48" s="50" t="str">
        <x:v>Ответ подтверждён реакцией канала</x:v>
      </x:c>
      <x:c r="J48" s="48"/>
    </x:row>
    <x:row r="49" ht="72" customHeight="1">
      <x:c r="A49" s="48" t="str">
        <x:v>TG-0387</x:v>
      </x:c>
      <x:c r="B49" s="49" t="n">
        <x:v>45988</x:v>
      </x:c>
      <x:c r="C49" s="48" t="n">
        <x:v>387</x:v>
      </x:c>
      <x:c r="D49" s="50" t="str">
        <x:v>Баскетболист Джей Ти ИКС, выступавший за «Шарлотт», «Кливленд» и «Вашингтон», явно ошибся с видом спорта: ни в одном из сезонов он не набирал больше 4 очков в среднем за игру, да и матчей в плей-офф НБА за 5 сезонов у него ноль. Судя по фамилии, которую мы заменили, ему явно больше подошла бы одна из дисциплин в легкой атлетике: бог, имя которого совпадает с фамилией Джей Ти, плотно с ней ассоциируется. О какой дисциплине речь?</x:v>
      </x:c>
      <x:c r="E49" s="50" t="str">
        <x:v>Не опубликован в посте</x:v>
      </x:c>
      <x:c r="F49" s="50" t="str">
        <x:v>https://t.me/simple_quiz/387</x:v>
      </x:c>
      <x:c r="G49" s="50" t="str">
        <x:v>telegram_archive/media/post_0387_photo_01.jpg</x:v>
      </x:c>
      <x:c r="H49" s="51" t="n">
        <x:v>0.9611</x:v>
      </x:c>
      <x:c r="I49" s="50" t="str">
        <x:v>Распознано — проверить ответ</x:v>
      </x:c>
      <x:c r="J49" s="48"/>
    </x:row>
    <x:row r="50" ht="72" customHeight="1">
      <x:c r="A50" s="48" t="str">
        <x:v>TG-0388</x:v>
      </x:c>
      <x:c r="B50" s="49" t="n">
        <x:v>45992</x:v>
      </x:c>
      <x:c r="C50" s="48" t="n">
        <x:v>388</x:v>
      </x:c>
      <x:c r="D50" s="50" t="str">
        <x:v>ИКС - экс-футболист «Зенита», который, помимо России, поиграл в Германии, Греции, Турции, Венгрии и даже Австралии. ИКСЫ - картина Винсента ван Гога 1887 года. Кстати, в период карьеры в «Зените» у ИКСА не было на спине ни единицы, ни восьмерки, ни семерки. Назовите ИКС.</x:v>
      </x:c>
      <x:c r="E50" s="50" t="str">
        <x:v>Мак</x:v>
      </x:c>
      <x:c r="F50" s="50" t="str">
        <x:v>https://t.me/simple_quiz/388</x:v>
      </x:c>
      <x:c r="G50" s="50" t="str">
        <x:v>telegram_archive/media/post_0388_photo_01.jpg</x:v>
      </x:c>
      <x:c r="H50" s="51" t="n">
        <x:v>0.9545</x:v>
      </x:c>
      <x:c r="I50" s="50" t="str">
        <x:v>Ответ подтверждён реакцией канала</x:v>
      </x:c>
      <x:c r="J50" s="48"/>
    </x:row>
    <x:row r="51" ht="72" customHeight="1">
      <x:c r="A51" s="48" t="str">
        <x:v>TG-0392</x:v>
      </x:c>
      <x:c r="B51" s="49" t="n">
        <x:v>45995</x:v>
      </x:c>
      <x:c r="C51" s="48" t="n">
        <x:v>392</x:v>
      </x:c>
      <x:c r="D51" s="50" t="str">
        <x:v>Один ИКС изначально был не ИКСОМ, а Чейни. Другой ИКС раньше был не ИКСОМ, а Августой. Один ИКС периодически зарабатывал деньги боксом. Другой ИКС не раз принимал крупные боксерские поединки. Там дрались и Поветкин, и Кличко. Назовите ИКС.</x:v>
      </x:c>
      <x:c r="E51" s="50" t="str">
        <x:v>Лондон</x:v>
      </x:c>
      <x:c r="F51" s="50" t="str">
        <x:v>https://t.me/simple_quiz/392</x:v>
      </x:c>
      <x:c r="G51" s="50" t="str">
        <x:v>telegram_archive/media/post_0392_photo_01.jpg</x:v>
      </x:c>
      <x:c r="H51" s="51" t="n">
        <x:v>0.9575</x:v>
      </x:c>
      <x:c r="I51" s="50" t="str">
        <x:v>Ответ подтверждён реакцией канала</x:v>
      </x:c>
      <x:c r="J51" s="48"/>
    </x:row>
    <x:row r="52" ht="72" customHeight="1">
      <x:c r="A52" s="48" t="str">
        <x:v>TG-0399</x:v>
      </x:c>
      <x:c r="B52" s="49" t="n">
        <x:v>45999</x:v>
      </x:c>
      <x:c r="C52" s="48" t="n">
        <x:v>399</x:v>
      </x:c>
      <x:c r="D52" s="50" t="str">
        <x:v>Всю карьеру ОН выступал на резине бренда Light Year. В числе его спонсоров - Vitoline, Clutch+Aid, Mood Springs, Octane Gain, NitroAde, Easy Idle. Логотипы этих брендов можно увидеть Ha HEM. Назовите ЕГО двумя словами.</x:v>
      </x:c>
      <x:c r="E52" s="50" t="str">
        <x:v>Молния Маккуин</x:v>
      </x:c>
      <x:c r="F52" s="50" t="str">
        <x:v>https://t.me/simple_quiz/399</x:v>
      </x:c>
      <x:c r="G52" s="50" t="str">
        <x:v>telegram_archive/media/post_0399_photo_01.jpg</x:v>
      </x:c>
      <x:c r="H52" s="51" t="n">
        <x:v>0.9504</x:v>
      </x:c>
      <x:c r="I52" s="50" t="str">
        <x:v>Ответ подтверждён реакцией канала</x:v>
      </x:c>
      <x:c r="J52" s="48"/>
    </x:row>
    <x:row r="53" ht="72" customHeight="1">
      <x:c r="A53" s="48" t="str">
        <x:v>TG-0415</x:v>
      </x:c>
      <x:c r="B53" s="49" t="n">
        <x:v>46002</x:v>
      </x:c>
      <x:c r="C53" s="48" t="n">
        <x:v>415</x:v>
      </x:c>
      <x:c r="D53" s="50" t="str">
        <x:v>Аккаунт nbaresdev выяснил, что игроки НБА начинают играть хуже после того, как обзаводятся ИМИ. В качестве доказательства они привели статистику Леброна Джеймса, Кевина Дюранта, Дреймонда Грина, Пола Джорджаи Джей Джея Редика. У всех них упали цифры по сезону после появления ИХ в их жизни. По одной из версий, первый ОН появился в 2004 году. В том же году это слово впервые использовал журналист Бен Хаммерсли. Кого мы зашифровали под НИМ?</x:v>
      </x:c>
      <x:c r="E53" s="50" t="str">
        <x:v>Подкаст</x:v>
      </x:c>
      <x:c r="F53" s="50" t="str">
        <x:v>https://t.me/simple_quiz/415</x:v>
      </x:c>
      <x:c r="G53" s="50" t="str">
        <x:v>telegram_archive/media/post_0415_photo_01.jpg</x:v>
      </x:c>
      <x:c r="H53" s="51" t="n">
        <x:v>0.9526</x:v>
      </x:c>
      <x:c r="I53" s="50" t="str">
        <x:v>Ответ подтверждён реакцией канала</x:v>
      </x:c>
      <x:c r="J53" s="48"/>
    </x:row>
    <x:row r="54" ht="72" customHeight="1">
      <x:c r="A54" s="48" t="str">
        <x:v>TG-0417</x:v>
      </x:c>
      <x:c r="B54" s="49" t="n">
        <x:v>46003</x:v>
      </x:c>
      <x:c r="C54" s="48" t="n">
        <x:v>417</x:v>
      </x:c>
      <x:c r="D54" s="50" t="str">
        <x:v>Американская актриса Оливия Коберн известна многим из вас под другой фамилией. Одна из самых популярных сериальных ролей Оливии - ИКС. Догадаться, что мы спрятали под ИКСОМ, вам помогут Микаэль Баллак, Алессандро Неста и Майкон. Назовите ИКС.</x:v>
      </x:c>
      <x:c r="E54" s="50" t="str">
        <x:v>Тринадцатая</x:v>
      </x:c>
      <x:c r="F54" s="50" t="str">
        <x:v>https://t.me/simple_quiz/417</x:v>
      </x:c>
      <x:c r="G54" s="50" t="str">
        <x:v>telegram_archive/media/post_0417_photo_01.jpg</x:v>
      </x:c>
      <x:c r="H54" s="51" t="n">
        <x:v>0.9522</x:v>
      </x:c>
      <x:c r="I54" s="50" t="str">
        <x:v>Ответ подтверждён реакцией канала</x:v>
      </x:c>
      <x:c r="J54" s="48"/>
    </x:row>
    <x:row r="55" ht="72" customHeight="1">
      <x:c r="A55" s="48" t="str">
        <x:v>TG-0418</x:v>
      </x:c>
      <x:c r="B55" s="49" t="n">
        <x:v>46004</x:v>
      </x:c>
      <x:c r="C55" s="48" t="n">
        <x:v>418</x:v>
      </x:c>
      <x:c r="D55" s="50" t="str">
        <x:v>Бенджамин Франклин говорил, что не наблюдать за ИКСАМИ - значит, оставлять им открытым свой кошелек. Если к ИКСАМ добавить согласную букву, получится название футбольного клуба, который в августе 2005 года приезжал в Москву на матч с «Локомотивом». Назовите этот клуб.</x:v>
      </x:c>
      <x:c r="E55" s="50" t="str">
        <x:v>Работнички</x:v>
      </x:c>
      <x:c r="F55" s="50" t="str">
        <x:v>https://t.me/simple_quiz/418</x:v>
      </x:c>
      <x:c r="G55" s="50" t="str">
        <x:v>telegram_archive/media/post_0418_photo_01.jpg</x:v>
      </x:c>
      <x:c r="H55" s="51" t="n">
        <x:v>0.9565</x:v>
      </x:c>
      <x:c r="I55" s="50" t="str">
        <x:v>Ответ подтверждён реакцией канала</x:v>
      </x:c>
      <x:c r="J55" s="48"/>
    </x:row>
    <x:row r="56" ht="72" customHeight="1">
      <x:c r="A56" s="48" t="str">
        <x:v>TG-0421</x:v>
      </x:c>
      <x:c r="B56" s="49" t="n">
        <x:v>46004</x:v>
      </x:c>
      <x:c r="C56" s="48" t="n">
        <x:v>421</x:v>
      </x:c>
      <x:c r="D56" s="50" t="str">
        <x:v>В 1978-1979 годах логотип «Нью-Йорк Никс» был в форме НЕГО. Вот некоторые ИХ представители: Fuji, Empire, Jonathan, Arkansas Black, Discovery. О чем речь?</x:v>
      </x:c>
      <x:c r="E56" s="50" t="str">
        <x:v>Яблоко</x:v>
      </x:c>
      <x:c r="F56" s="50" t="str">
        <x:v>https://t.me/simple_quiz/421</x:v>
      </x:c>
      <x:c r="G56" s="50" t="str">
        <x:v>telegram_archive/media/post_0421_photo_01.jpg</x:v>
      </x:c>
      <x:c r="H56" s="51" t="n">
        <x:v>0.958</x:v>
      </x:c>
      <x:c r="I56" s="50" t="str">
        <x:v>Ответ подтверждён реакцией канала</x:v>
      </x:c>
      <x:c r="J56" s="48"/>
    </x:row>
    <x:row r="57" ht="72" customHeight="1">
      <x:c r="A57" s="48" t="str">
        <x:v>TG-0431</x:v>
      </x:c>
      <x:c r="B57" s="49" t="n">
        <x:v>46006</x:v>
      </x:c>
      <x:c r="C57" s="48" t="n">
        <x:v>431</x:v>
      </x:c>
      <x:c r="D57" s="50" t="str">
        <x:v>В ноябре 2022 года в соревновательный Counter-Strike добавили ИКС. Правда, уже через пару лет его убрали из про-сцены. Вы могли слышать про ИКСА на уроках истории. Если бы вы назвали ИКСА шакалом, это в какой-то степени было правдивым утверждением. В одной из древних культур он считался изобретателем бальзамирования. Назовите ИКС.</x:v>
      </x:c>
      <x:c r="E57" s="50" t="str">
        <x:v>Анубис</x:v>
      </x:c>
      <x:c r="F57" s="50" t="str">
        <x:v>https://t.me/simple_quiz/431</x:v>
      </x:c>
      <x:c r="G57" s="50" t="str">
        <x:v>telegram_archive/media/post_0431_photo_01.jpg</x:v>
      </x:c>
      <x:c r="H57" s="51" t="n">
        <x:v>0.9584</x:v>
      </x:c>
      <x:c r="I57" s="50" t="str">
        <x:v>Ответ подтверждён реакцией канала</x:v>
      </x:c>
      <x:c r="J57" s="48"/>
    </x:row>
    <x:row r="58" ht="72" customHeight="1">
      <x:c r="A58" s="48" t="str">
        <x:v>TG-0434</x:v>
      </x:c>
      <x:c r="B58" s="49" t="n">
        <x:v>46007</x:v>
      </x:c>
      <x:c r="C58" s="48" t="n">
        <x:v>434</x:v>
      </x:c>
      <x:c r="D58" s="50" t="str">
        <x:v>Если бы этот ролик снимали в 2025 году, то мы бы не удивились, если бы его лицом стала Юлия Романова, Полина Марченко, Юлия Чиркова или Алина Еременко, но в начале 2000-х в этой рекламе снялся будущий двукратный олимпийский чемпион. А какой слоган был у того рекламного ролика?</x:v>
      </x:c>
      <x:c r="E58" s="50" t="str">
        <x:v>Не опубликован в посте</x:v>
      </x:c>
      <x:c r="F58" s="50" t="str">
        <x:v>https://t.me/simple_quiz/434</x:v>
      </x:c>
      <x:c r="G58" s="50" t="str">
        <x:v>telegram_archive/media/post_0434_photo_01.jpg</x:v>
      </x:c>
      <x:c r="H58" s="51" t="n">
        <x:v>0.9597</x:v>
      </x:c>
      <x:c r="I58" s="50" t="str">
        <x:v>Распознано — проверить ответ</x:v>
      </x:c>
      <x:c r="J58" s="48"/>
    </x:row>
    <x:row r="59" ht="72" customHeight="1">
      <x:c r="A59" s="48" t="str">
        <x:v>TG-0437</x:v>
      </x:c>
      <x:c r="B59" s="49" t="n">
        <x:v>46008</x:v>
      </x:c>
      <x:c r="C59" s="48" t="n">
        <x:v>437</x:v>
      </x:c>
      <x:c r="D59" s="50" t="str">
        <x:v>К концу 2024 года в их списке есть и ЦСКА, и «Локомотив», и «Спартак», и «Динамо», иеще 267 других. «Торпедо» в их списке, кстати, нет. О чем речь?</x:v>
      </x:c>
      <x:c r="E59" s="50" t="str">
        <x:v>Станции Московского метрополитена</x:v>
      </x:c>
      <x:c r="F59" s="50" t="str">
        <x:v>https://t.me/simple_quiz/437</x:v>
      </x:c>
      <x:c r="G59" s="50" t="str">
        <x:v>telegram_archive/media/post_0437_photo_01.jpg</x:v>
      </x:c>
      <x:c r="H59" s="51" t="n">
        <x:v>0.9484</x:v>
      </x:c>
      <x:c r="I59" s="50" t="str">
        <x:v>Ответ подтверждён реакцией канала</x:v>
      </x:c>
      <x:c r="J59" s="48"/>
    </x:row>
    <x:row r="60" ht="72" customHeight="1">
      <x:c r="A60" s="48" t="str">
        <x:v>TG-0438</x:v>
      </x:c>
      <x:c r="B60" s="49" t="n">
        <x:v>46009</x:v>
      </x:c>
      <x:c r="C60" s="48" t="n">
        <x:v>438</x:v>
      </x:c>
      <x:c r="D60" s="50" t="str">
        <x:v>В ребрендинге 2020 года одной национальной команды на эмблеме объединили четырех мифических хранителей — быка, орла, дракона и великана; новый знак заменил прежний щит с аббревиатурой федерации и флагом. Согласно пресс-релизу, эти фигуры - традиционные защитники страны и мотив, связанный с государственной символикой. Назовите сборную, которая впервые добралась до ЧМ и ЧЕ лишь в ХХ! веке.</x:v>
      </x:c>
      <x:c r="E60" s="50" t="str">
        <x:v>Исландия</x:v>
      </x:c>
      <x:c r="F60" s="50" t="str">
        <x:v>https://t.me/simple_quiz/438</x:v>
      </x:c>
      <x:c r="G60" s="50" t="str">
        <x:v>telegram_archive/media/post_0438_photo_01.jpg</x:v>
      </x:c>
      <x:c r="H60" s="51" t="n">
        <x:v>0.9522</x:v>
      </x:c>
      <x:c r="I60" s="50" t="str">
        <x:v>Ответ подтверждён реакцией канала</x:v>
      </x:c>
      <x:c r="J60" s="48"/>
    </x:row>
    <x:row r="61" ht="72" customHeight="1">
      <x:c r="A61" s="48" t="str">
        <x:v>TG-0441</x:v>
      </x:c>
      <x:c r="B61" s="49" t="n">
        <x:v>46012</x:v>
      </x:c>
      <x:c r="C61" s="48" t="n">
        <x:v>441</x:v>
      </x:c>
      <x:c r="D61" s="50" t="str">
        <x:v>Шахматы 1922 года по модели Натальи Данько являются заметным образцом агитационного фарфора. В целях пропаганды скульптор придумала новые образы для каждой фигуры и заменила один из их традиционных цветов. Напишите пару цветов в версии шахмат Натальи Данько.</x:v>
      </x:c>
      <x:c r="E61" s="50" t="str">
        <x:v>Красные и белые</x:v>
      </x:c>
      <x:c r="F61" s="50" t="str">
        <x:v>https://t.me/simple_quiz/441</x:v>
      </x:c>
      <x:c r="G61" s="50" t="str">
        <x:v>telegram_archive/media/post_0441_photo_01.jpg</x:v>
      </x:c>
      <x:c r="H61" s="51" t="n">
        <x:v>0.9599</x:v>
      </x:c>
      <x:c r="I61" s="50" t="str">
        <x:v>Ответ подтверждён реакцией канала</x:v>
      </x:c>
      <x:c r="J61" s="48"/>
    </x:row>
    <x:row r="62" ht="72" customHeight="1">
      <x:c r="A62" s="48" t="str">
        <x:v>TG-0445</x:v>
      </x:c>
      <x:c r="B62" s="49" t="n">
        <x:v>46020</x:v>
      </x:c>
      <x:c r="C62" s="48" t="n">
        <x:v>445</x:v>
      </x:c>
      <x:c r="D62" s="50" t="str">
        <x:v>Привет! Ты в курсе про бесплатный «Симпл Квиз» для новых команд? 14 января, 20:00 «Басби», Никитский бульвар, 12 Запись - у @iamkirian в личке в | Cum | KBU</x:v>
      </x:c>
      <x:c r="E62" s="50" t="str">
        <x:v>Не опубликован в посте</x:v>
      </x:c>
      <x:c r="F62" s="50" t="str">
        <x:v>https://t.me/simple_quiz/445</x:v>
      </x:c>
      <x:c r="G62" s="50" t="str">
        <x:v>telegram_archive/media/post_0445_photo_01.jpg</x:v>
      </x:c>
      <x:c r="H62" s="51" t="n">
        <x:v>0.9116</x:v>
      </x:c>
      <x:c r="I62" s="50" t="str">
        <x:v>Распознано — проверить ответ</x:v>
      </x:c>
      <x:c r="J62" s="48"/>
    </x:row>
    <x:row r="63" ht="72" customHeight="1">
      <x:c r="A63" s="48" t="str">
        <x:v>TG-0450</x:v>
      </x:c>
      <x:c r="B63" s="49" t="n">
        <x:v>46030</x:v>
      </x:c>
      <x:c r="C63" s="48" t="n">
        <x:v>450</x:v>
      </x:c>
      <x:c r="D63" s="50" t="str">
        <x:v>Около 10 лет назад у очень многих сильных игроков в фифу была определенная особенность в никнейме, поэтому их называли ИКСАМИ. Позднее термин трансформировался, и ИКСАМИ стали называть всех сильных игроков вне зависимости от того, какой у них никнейм. ИКСОМ можно назвать, например, Мохамеда Салаха, Рияда Мареза или Ашрафа Хакими. Назовите ИКС.</x:v>
      </x:c>
      <x:c r="E63" s="50" t="str">
        <x:v>Араб</x:v>
      </x:c>
      <x:c r="F63" s="50" t="str">
        <x:v>https://t.me/simple_quiz/450</x:v>
      </x:c>
      <x:c r="G63" s="50" t="str">
        <x:v>telegram_archive/media/post_0450_photo_01.jpg</x:v>
      </x:c>
      <x:c r="H63" s="51" t="n">
        <x:v>0.9473</x:v>
      </x:c>
      <x:c r="I63" s="50" t="str">
        <x:v>Ответ подтверждён реакцией канала</x:v>
      </x:c>
      <x:c r="J63" s="48"/>
    </x:row>
    <x:row r="64" ht="72" customHeight="1">
      <x:c r="A64" s="48" t="str">
        <x:v>TG-0451</x:v>
      </x:c>
      <x:c r="B64" s="49" t="n">
        <x:v>46031</x:v>
      </x:c>
      <x:c r="C64" s="48" t="n">
        <x:v>451</x:v>
      </x:c>
      <x:c r="D64" s="50" t="str">
        <x:v>Привет! Ты в курсе про бесплатный «Симпл Квиз» для новых команд? 14 января, 20:00 «Басби», Никитский бульвар, 12 Запись - у @iamkirian в личке в | Cum | KBU</x:v>
      </x:c>
      <x:c r="E64" s="50" t="str">
        <x:v>Не опубликован в посте</x:v>
      </x:c>
      <x:c r="F64" s="50" t="str">
        <x:v>https://t.me/simple_quiz/451</x:v>
      </x:c>
      <x:c r="G64" s="50" t="str">
        <x:v>telegram_archive/media/post_0451_photo_01.jpg</x:v>
      </x:c>
      <x:c r="H64" s="51" t="n">
        <x:v>0.9116</x:v>
      </x:c>
      <x:c r="I64" s="50" t="str">
        <x:v>Распознано — проверить ответ</x:v>
      </x:c>
      <x:c r="J64" s="48"/>
    </x:row>
    <x:row r="65" ht="72" customHeight="1">
      <x:c r="A65" s="48" t="str">
        <x:v>TG-0452</x:v>
      </x:c>
      <x:c r="B65" s="49" t="n">
        <x:v>46031</x:v>
      </x:c>
      <x:c r="C65" s="48" t="n">
        <x:v>452</x:v>
      </x:c>
      <x:c r="D65" s="50" t="str">
        <x:v>В саундтреке FIFA 07 была песня этой группы. У этого трека 99 миллионов прослушиваний в Spotify, а у самой популярной песни группы - больше 2 миллиардов. Название этой группы совпадает с фамилиями двух легендарных игроков АПЛ. Один сыграл больше 200 матчей за «Тоттенхэм» и заезжал на сезон в «Ливерпуль». Другой провел больше 300 матчей за «МЮ». Как называется группа?</x:v>
      </x:c>
      <x:c r="E65" s="50" t="str">
        <x:v>Keane</x:v>
      </x:c>
      <x:c r="F65" s="50" t="str">
        <x:v>https://t.me/simple_quiz/452</x:v>
      </x:c>
      <x:c r="G65" s="50" t="str">
        <x:v>telegram_archive/media/post_0452_photo_01.jpg</x:v>
      </x:c>
      <x:c r="H65" s="51" t="n">
        <x:v>0.9569</x:v>
      </x:c>
      <x:c r="I65" s="50" t="str">
        <x:v>Ответ подтверждён реакцией канала</x:v>
      </x:c>
      <x:c r="J65" s="48"/>
    </x:row>
    <x:row r="66" ht="72" customHeight="1">
      <x:c r="A66" s="48" t="str">
        <x:v>TG-0454</x:v>
      </x:c>
      <x:c r="B66" s="49" t="n">
        <x:v>46032</x:v>
      </x:c>
      <x:c r="C66" s="48" t="n">
        <x:v>454</x:v>
      </x:c>
      <x:c r="D66" s="50" t="str">
        <x:v>До 2006 года там не фигурировал никто, а после 2022-го там можно было увидеть следующих исполнителей: Drake, The Rolling Stones, Coldplay, Karol С, Rosalia, Travis Scott. В этом списке могли быть Тэйлор Свифт и Эд Ширан, но пока не срослось. Что объединяет вышеуказанных артистов?</x:v>
      </x:c>
      <x:c r="E66" s="50" t="str">
        <x:v>Игровые футболки «Барселоны»</x:v>
      </x:c>
      <x:c r="F66" s="50" t="str">
        <x:v>https://t.me/simple_quiz/454</x:v>
      </x:c>
      <x:c r="G66" s="50" t="str">
        <x:v>telegram_archive/media/post_0454_photo_01.jpg</x:v>
      </x:c>
      <x:c r="H66" s="51" t="n">
        <x:v>0.9576</x:v>
      </x:c>
      <x:c r="I66" s="50" t="str">
        <x:v>Ответ подтверждён реакцией канала</x:v>
      </x:c>
      <x:c r="J66" s="48"/>
    </x:row>
    <x:row r="67" ht="72" customHeight="1">
      <x:c r="A67" s="48" t="str">
        <x:v>TG-0467</x:v>
      </x:c>
      <x:c r="B67" s="49" t="n">
        <x:v>46042</x:v>
      </x:c>
      <x:c r="C67" s="48" t="n">
        <x:v>467</x:v>
      </x:c>
      <x:c r="D67" s="50" t="str">
        <x:v>Дженнифер Лоуренс, Орландо Блум, Джереми Реннер, Рассел Кроу, Стивен Амелл - всех этих актеров объединяет некий олимпийский вид спорта. Назовите этот вид спорта.</x:v>
      </x:c>
      <x:c r="E67" s="50" t="str">
        <x:v>Стрельба из лука</x:v>
      </x:c>
      <x:c r="F67" s="50" t="str">
        <x:v>https://t.me/simple_quiz/467</x:v>
      </x:c>
      <x:c r="G67" s="50" t="str">
        <x:v>telegram_archive/media/post_0467_photo_01.jpg</x:v>
      </x:c>
      <x:c r="H67" s="51" t="n">
        <x:v>0.9541</x:v>
      </x:c>
      <x:c r="I67" s="50" t="str">
        <x:v>Ответ подтверждён реакцией канала</x:v>
      </x:c>
      <x:c r="J67" s="48"/>
    </x:row>
    <x:row r="68" ht="72" customHeight="1">
      <x:c r="A68" s="48" t="str">
        <x:v>TG-0468</x:v>
      </x:c>
      <x:c r="B68" s="49" t="n">
        <x:v>46042</x:v>
      </x:c>
      <x:c r="C68" s="48" t="n">
        <x:v>468</x:v>
      </x:c>
      <x:c r="D68" s="50" t="str">
        <x:v>Перед вами зашифрован персонаж культового произведения английского писателя. Мы уверены, что сам персонаж с легкостью прочел бы указанный SYXFRR EK Sete Однофамилец этого персонажа провел 10 сезонов в НБА. Он поиграл в «Филадельфии», «Финиксе», «Сакраменто», «Далласе» и «Вашингтоне». Он до сих пор в лиге. Назовите фамилию персонажа. Или баскетболиста.</x:v>
      </x:c>
      <x:c r="E68" s="50" t="str">
        <x:v>Шерлок Холмс</x:v>
      </x:c>
      <x:c r="F68" s="50" t="str">
        <x:v>https://t.me/simple_quiz/468</x:v>
      </x:c>
      <x:c r="G68" s="50" t="str">
        <x:v>telegram_archive/media/post_0468_photo_01.jpg</x:v>
      </x:c>
      <x:c r="H68" s="51" t="n">
        <x:v>0.9021</x:v>
      </x:c>
      <x:c r="I68" s="50" t="str">
        <x:v>Ответ подтверждён реакцией канала</x:v>
      </x:c>
      <x:c r="J68" s="48"/>
    </x:row>
    <x:row r="69" ht="72" customHeight="1">
      <x:c r="A69" s="48" t="str">
        <x:v>TG-0469</x:v>
      </x:c>
      <x:c r="B69" s="49" t="n">
        <x:v>46042</x:v>
      </x:c>
      <x:c r="C69" s="48" t="n">
        <x:v>469</x:v>
      </x:c>
      <x:c r="D69" s="50" t="str">
        <x:v>В США расфорсился скриншот с матча МЛБ между «Чикаго Кабс» и «Питтсбургом». На этом скриншоте видны упрощенные лого команд- участниц и счет матча, в котором одна из команд пока не набрала очков. Символы на этом скриншоте повторяют имя персонажа, фигурировавшего во всех эпизодах известнейшей франшизы. Напишите имя этого персонажа.</x:v>
      </x:c>
      <x:c r="E69" s="50" t="str">
        <x:v>C-3PO</x:v>
      </x:c>
      <x:c r="F69" s="50" t="str">
        <x:v>https://t.me/simple_quiz/469</x:v>
      </x:c>
      <x:c r="G69" s="50" t="str">
        <x:v>telegram_archive/media/post_0469_photo_01.jpg</x:v>
      </x:c>
      <x:c r="H69" s="51" t="n">
        <x:v>0.9542</x:v>
      </x:c>
      <x:c r="I69" s="50" t="str">
        <x:v>Ответ подтверждён реакцией канала</x:v>
      </x:c>
      <x:c r="J69" s="48"/>
    </x:row>
    <x:row r="70" ht="72" customHeight="1">
      <x:c r="A70" s="48" t="str">
        <x:v>TG-0473</x:v>
      </x:c>
      <x:c r="B70" s="49" t="n">
        <x:v>46047</x:v>
      </x:c>
      <x:c r="C70" s="48" t="n">
        <x:v>473</x:v>
      </x:c>
      <x:c r="D70" s="50" t="str">
        <x:v>ИКС ИГРЕК - двукратный чемпион НБА, бронзовый призер Олимпийских игр и чемпион мира. ИКС ЗЕТ - звезда НФЛ, которая с 2019 года играет в одной команде. ИПСИЛОН ИКС - обладатель 22 наград «Грэмми». С НФЛ он так или иначе тоже связан. Назовите ИКС.</x:v>
      </x:c>
      <x:c r="E70" s="50" t="str">
        <x:v>Ламар</x:v>
      </x:c>
      <x:c r="F70" s="50" t="str">
        <x:v>https://t.me/simple_quiz/473</x:v>
      </x:c>
      <x:c r="G70" s="50" t="str">
        <x:v>telegram_archive/media/post_0473_photo_01.jpg</x:v>
      </x:c>
      <x:c r="H70" s="51" t="n">
        <x:v>0.9493</x:v>
      </x:c>
      <x:c r="I70" s="50" t="str">
        <x:v>Ответ подтверждён реакцией канала</x:v>
      </x:c>
      <x:c r="J70" s="48"/>
    </x:row>
    <x:row r="71" ht="72" customHeight="1">
      <x:c r="A71" s="48" t="str">
        <x:v>TG-0474</x:v>
      </x:c>
      <x:c r="B71" s="49" t="n">
        <x:v>46047</x:v>
      </x:c>
      <x:c r="C71" s="48" t="n">
        <x:v>474</x:v>
      </x:c>
      <x:c r="D71" s="50" t="str">
        <x:v>После поражения сборной Англии по крикету от Австралии в 1882 году The Sporting Times напечатали некролог: «Английский крикет умер 29 августа 1882 года». С тех пор победителям серии матчей между Англией и Австралией в тестовом крикете вручается ОНА. Возможно, если бы EE подарили вам, это вызвало быу вас как минимум непонимание, ау некоторых - даже обиду. Назовите EE двумя словами.</x:v>
      </x:c>
      <x:c r="E71" s="50" t="str">
        <x:v>Урна</x:v>
      </x:c>
      <x:c r="F71" s="50" t="str">
        <x:v>https://t.me/simple_quiz/474</x:v>
      </x:c>
      <x:c r="G71" s="50" t="str">
        <x:v>telegram_archive/media/post_0474_photo_01.jpg</x:v>
      </x:c>
      <x:c r="H71" s="51" t="n">
        <x:v>0.9563</x:v>
      </x:c>
      <x:c r="I71" s="50" t="str">
        <x:v>Ответ подтверждён реакцией канала</x:v>
      </x:c>
      <x:c r="J71" s="48"/>
    </x:row>
    <x:row r="72" ht="72" customHeight="1">
      <x:c r="A72" s="48" t="str">
        <x:v>TG-0505</x:v>
      </x:c>
      <x:c r="B72" s="49" t="n">
        <x:v>46068</x:v>
      </x:c>
      <x:c r="C72" s="48" t="n">
        <x:v>505</x:v>
      </x:c>
      <x:c r="D72" s="50" t="str">
        <x:v>Один из текстов на сайте Eurosport.ru, посвященный триумфу одной биатлонистки, был озаглавлен «ОНА маслом». ОНА - фамилия спортсменки, забравшейся на подиум. Назовите ЕЕ.</x:v>
      </x:c>
      <x:c r="E72" s="50" t="str">
        <x:v>Надежда Скардино</x:v>
      </x:c>
      <x:c r="F72" s="50" t="str">
        <x:v>https://t.me/simple_quiz/505</x:v>
      </x:c>
      <x:c r="G72" s="50" t="str">
        <x:v>telegram_archive/media/post_0505_photo_01.jpg</x:v>
      </x:c>
      <x:c r="H72" s="51" t="n">
        <x:v>0.941</x:v>
      </x:c>
      <x:c r="I72" s="50" t="str">
        <x:v>Ответ подтверждён реакцией канала</x:v>
      </x:c>
      <x:c r="J72" s="48"/>
    </x:row>
    <x:row r="73" ht="72" customHeight="1">
      <x:c r="A73" s="48" t="str">
        <x:v>TG-0507</x:v>
      </x:c>
      <x:c r="B73" s="49" t="n">
        <x:v>46069</x:v>
      </x:c>
      <x:c r="C73" s="48" t="n">
        <x:v>507</x:v>
      </x:c>
      <x:c r="D73" s="50" t="str">
        <x:v>Перед вами список спортсменов: легкоатлет Ноа Лайлз, гольфист Брайсон Дешамбо, теннисистка Серена Уильямс, бейсболист Аарон Джадж, футболисты Неймар и Криштиану Роналду, баскетболисты Стефен Карри и Дэмиан Лиллард. В 2024 и 2025 гг. их медийно объединил один человек 1998 года рождения, чье настоящее имя — Джеймс Стивен Дональдсон. Назовите псевдоним этого человека.</x:v>
      </x:c>
      <x:c r="E73" s="50" t="str">
        <x:v>MrBeast</x:v>
      </x:c>
      <x:c r="F73" s="50" t="str">
        <x:v>https://t.me/simple_quiz/507</x:v>
      </x:c>
      <x:c r="G73" s="50" t="str">
        <x:v>telegram_archive/media/post_0507_photo_01.jpg</x:v>
      </x:c>
      <x:c r="H73" s="51" t="n">
        <x:v>0.9451</x:v>
      </x:c>
      <x:c r="I73" s="50" t="str">
        <x:v>Ответ подтверждён реакцией канала</x:v>
      </x:c>
      <x:c r="J73" s="48"/>
    </x:row>
    <x:row r="74" ht="72" customHeight="1">
      <x:c r="A74" s="48" t="str">
        <x:v>TG-0508</x:v>
      </x:c>
      <x:c r="B74" s="49" t="n">
        <x:v>46070</x:v>
      </x:c>
      <x:c r="C74" s="48" t="n">
        <x:v>508</x:v>
      </x:c>
      <x:c r="D74" s="50" t="str">
        <x:v>Имена Диего Марадоны, Майка Тайсона, Роналдиньо, Флойда Мэйуэзера, Аллена Айверсона фигурировали в различных ИХ. В архитектуре ОН, помимо самых известных, бывает коринфским или тосканским. Назовите ЕГО.</x:v>
      </x:c>
      <x:c r="E74" s="50" t="str">
        <x:v>Ордер</x:v>
      </x:c>
      <x:c r="F74" s="50" t="str">
        <x:v>https://t.me/simple_quiz/508</x:v>
      </x:c>
      <x:c r="G74" s="50" t="str">
        <x:v>telegram_archive/media/post_0508_photo_01.jpg</x:v>
      </x:c>
      <x:c r="H74" s="51" t="n">
        <x:v>0.9508</x:v>
      </x:c>
      <x:c r="I74" s="50" t="str">
        <x:v>Ответ подтверждён реакцией канала</x:v>
      </x:c>
      <x:c r="J74" s="48"/>
    </x:row>
    <x:row r="75" ht="72" customHeight="1">
      <x:c r="A75" s="48" t="str">
        <x:v>TG-0509</x:v>
      </x:c>
      <x:c r="B75" s="49" t="n">
        <x:v>46071</x:v>
      </x:c>
      <x:c r="C75" s="48" t="n">
        <x:v>509</x:v>
      </x:c>
      <x:c r="D75" s="50" t="str">
        <x:v>Эта аббревиатура в какой-то степени ассоциируется с темнокожими людьми, правда, не в спортивных медиа, а в диджитал-файлах совершенно другого типа. A еще эта аббревиатура - название медиа, у которого есть не только спортивный раздел, но и целое пан- Африканское направление и редакция. Воспроизведите эту аббревиатуру, состоящую из трех латинских букв.</x:v>
      </x:c>
      <x:c r="E75" s="50" t="str">
        <x:v>BBC</x:v>
      </x:c>
      <x:c r="F75" s="50" t="str">
        <x:v>https://t.me/simple_quiz/509</x:v>
      </x:c>
      <x:c r="G75" s="50" t="str">
        <x:v>telegram_archive/media/post_0509_photo_01.jpg</x:v>
      </x:c>
      <x:c r="H75" s="51" t="n">
        <x:v>0.9486</x:v>
      </x:c>
      <x:c r="I75" s="50" t="str">
        <x:v>Ответ подтверждён реакцией канала</x:v>
      </x:c>
      <x:c r="J75" s="48"/>
    </x:row>
    <x:row r="76" ht="72" customHeight="1">
      <x:c r="A76" s="48" t="str">
        <x:v>TG-0511</x:v>
      </x:c>
      <x:c r="B76" s="49" t="n">
        <x:v>46072</x:v>
      </x:c>
      <x:c r="C76" s="48" t="n">
        <x:v>511</x:v>
      </x:c>
      <x:c r="D76" s="50" t="str">
        <x:v>В романтическом плане Матвея Сафонова можно назвать ИМ - например, для его жены Марины. OH на французском языке — фамилия одного из партнеров Сафонова. Также ОН во Франции- низшая категория ордена Почетного легиона. Назовите ЕГО французским словом.</x:v>
      </x:c>
      <x:c r="E76" s="50" t="str">
        <x:v>Chevalier (шевалье)</x:v>
      </x:c>
      <x:c r="F76" s="50" t="str">
        <x:v>https://t.me/simple_quiz/511</x:v>
      </x:c>
      <x:c r="G76" s="50" t="str">
        <x:v>telegram_archive/media/post_0511_photo_01.jpg</x:v>
      </x:c>
      <x:c r="H76" s="51" t="n">
        <x:v>0.949</x:v>
      </x:c>
      <x:c r="I76" s="50" t="str">
        <x:v>Ответ подтверждён реакцией канала</x:v>
      </x:c>
      <x:c r="J76" s="48"/>
    </x:row>
    <x:row r="77" ht="72" customHeight="1">
      <x:c r="A77" s="48" t="str">
        <x:v>TG-0512</x:v>
      </x:c>
      <x:c r="B77" s="49" t="n">
        <x:v>46073</x:v>
      </x:c>
      <x:c r="C77" s="48" t="n">
        <x:v>512</x:v>
      </x:c>
      <x:c r="D77" s="50" t="str">
        <x:v>В Северной Америке ТАК называют скамейки на матчах по бейсболу и американскому футболу, а также зрителей на этих играх. Одна из версий происхождения термина - что деревянные скамейки выгорали или выцветали на солнце. Также ЭТО СЛОВО присутствует в названии американского спортивного медиа, основанного в 2005 году. По сути, первые тексты создателей сайта стали взглядом с этих самых скамеек. Назовите слово или спортивное медиа.</x:v>
      </x:c>
      <x:c r="E77" s="50" t="str">
        <x:v>Bleachers</x:v>
      </x:c>
      <x:c r="F77" s="50" t="str">
        <x:v>https://t.me/simple_quiz/512</x:v>
      </x:c>
      <x:c r="G77" s="50" t="str">
        <x:v>telegram_archive/media/post_0512_photo_01.jpg</x:v>
      </x:c>
      <x:c r="H77" s="51" t="n">
        <x:v>0.9584</x:v>
      </x:c>
      <x:c r="I77" s="50" t="str">
        <x:v>Ответ подтверждён реакцией канала</x:v>
      </x:c>
      <x:c r="J77" s="48"/>
    </x:row>
    <x:row r="78" ht="72" customHeight="1">
      <x:c r="A78" s="48" t="str">
        <x:v>TG-0514</x:v>
      </x:c>
      <x:c r="B78" s="49" t="n">
        <x:v>46074</x:v>
      </x:c>
      <x:c r="C78" s="48" t="n">
        <x:v>514</x:v>
      </x:c>
      <x:c r="D78" s="50" t="str">
        <x:v>Если бы Артем Дзюба провел всю карьеру в «Спартаке», то из-за одного факта биографии форварда на «Лукойл Арене» его могли бы называть ИКСом. ИКС - прозвище заметного политического деятеля, который жил в России на стыке 16-го и Т7-го веков. Назовите ИКС двумя словами.</x:v>
      </x:c>
      <x:c r="E78" s="50" t="str">
        <x:v>Тушинский вор</x:v>
      </x:c>
      <x:c r="F78" s="50" t="str">
        <x:v>https://t.me/simple_quiz/514</x:v>
      </x:c>
      <x:c r="G78" s="50" t="str">
        <x:v>telegram_archive/media/post_0514_photo_01.jpg</x:v>
      </x:c>
      <x:c r="H78" s="51" t="n">
        <x:v>0.9529</x:v>
      </x:c>
      <x:c r="I78" s="50" t="str">
        <x:v>Ответ подтверждён реакцией канала</x:v>
      </x:c>
      <x:c r="J78" s="48"/>
    </x:row>
    <x:row r="79" ht="72" customHeight="1">
      <x:c r="A79" s="48" t="str">
        <x:v>TG-0516</x:v>
      </x:c>
      <x:c r="B79" s="49" t="n">
        <x:v>46075</x:v>
      </x:c>
      <x:c r="C79" s="48" t="n">
        <x:v>516</x:v>
      </x:c>
      <x:c r="D79" s="50" t="str">
        <x:v>В топ-100 прямых эфиров на американском телевидении в 2023 году вошли сразу 97 спортивных трансляций. 94 из них - это матчи NFL. A 3 оставшихся?</x:v>
      </x:c>
      <x:c r="E79" s="50" t="str">
        <x:v>NCAA</x:v>
      </x:c>
      <x:c r="F79" s="50" t="str">
        <x:v>https://t.me/simple_quiz/516</x:v>
      </x:c>
      <x:c r="G79" s="50" t="str">
        <x:v>telegram_archive/media/post_0516_photo_01.jpg</x:v>
      </x:c>
      <x:c r="H79" s="51" t="n">
        <x:v>0.9452</x:v>
      </x:c>
      <x:c r="I79" s="50" t="str">
        <x:v>Ответ подтверждён реакцией канала</x:v>
      </x:c>
      <x:c r="J79" s="48"/>
    </x:row>
    <x:row r="80" ht="72" customHeight="1">
      <x:c r="A80" s="48" t="str">
        <x:v>TG-0517</x:v>
      </x:c>
      <x:c r="B80" s="49" t="n">
        <x:v>46076</x:v>
      </x:c>
      <x:c r="C80" s="48" t="n">
        <x:v>517</x:v>
      </x:c>
      <x:c r="D80" s="50" t="str">
        <x:v>Карьера Сергея Юрьевича началась в клубе из Узбекистана в 1991 году, а завершилась в 2018 году в клубе из Белгорода. Сергей Юрьевич - олимпийский чемпион. Карьера Павла Сергеевича началась в 2017 году в клубе из Белгорода. Назовите фамилию Сергея Юрьевича и Павла Сергеевича.</x:v>
      </x:c>
      <x:c r="E80" s="50" t="str">
        <x:v>Сергей Тетюхин</x:v>
      </x:c>
      <x:c r="F80" s="50" t="str">
        <x:v>https://t.me/simple_quiz/517</x:v>
      </x:c>
      <x:c r="G80" s="50" t="str">
        <x:v>telegram_archive/media/post_0517_photo_01.jpg</x:v>
      </x:c>
      <x:c r="H80" s="51" t="n">
        <x:v>0.9564</x:v>
      </x:c>
      <x:c r="I80" s="50" t="str">
        <x:v>Ответ подтверждён реакцией канала</x:v>
      </x:c>
      <x:c r="J80" s="48"/>
    </x:row>
    <x:row r="81" ht="72" customHeight="1">
      <x:c r="A81" s="48" t="str">
        <x:v>TG-0518</x:v>
      </x:c>
      <x:c r="B81" s="49" t="n">
        <x:v>46077</x:v>
      </x:c>
      <x:c r="C81" s="48" t="n">
        <x:v>518</x:v>
      </x:c>
      <x:c r="D81" s="50" t="str">
        <x:v>В 1999 году «Манчестер Сити» подписал контракт с издательством Eidos Interactive. С анонса того соглашения осталось несколько фотографий с НЕЙ. В 2020 году сайт Coop-Land признал EE грудь лучшей в истории индустрии. Кого мы загадали под НЕЙ?</x:v>
      </x:c>
      <x:c r="E81" s="50" t="str">
        <x:v>Лара Крофт</x:v>
      </x:c>
      <x:c r="F81" s="50" t="str">
        <x:v>https://t.me/simple_quiz/518</x:v>
      </x:c>
      <x:c r="G81" s="50" t="str">
        <x:v>telegram_archive/media/post_0518_photo_01.jpg</x:v>
      </x:c>
      <x:c r="H81" s="51" t="n">
        <x:v>0.9483</x:v>
      </x:c>
      <x:c r="I81" s="50" t="str">
        <x:v>Ответ подтверждён реакцией канала</x:v>
      </x:c>
      <x:c r="J81" s="48"/>
    </x:row>
    <x:row r="82" ht="72" customHeight="1">
      <x:c r="A82" s="48" t="str">
        <x:v>TG-0519</x:v>
      </x:c>
      <x:c r="B82" s="49" t="n">
        <x:v>46078</x:v>
      </x:c>
      <x:c r="C82" s="48" t="n">
        <x:v>519</x:v>
      </x:c>
      <x:c r="D82" s="50" t="str">
        <x:v>В одном из спешалов комик Эндрю Шульц рассуждал о разнице между Чикаго и Нью-Иорком. Он обратил внимание, что, в отличие от нью-йоркцев, жители Чикаго гордятся трагедиями в городе настолько, что даже назвали команду по футболу - «Чикаго Файр» -— якобы в честь великого чикагского пожара 1871 года. Когда Шульц начал рассуждать о названиях команд в Нью- Иорке, зал взорвался от смеха. Название какой команды вызвало у зрителей истерику?</x:v>
      </x:c>
      <x:c r="E82" s="50" t="str">
        <x:v>Jets</x:v>
      </x:c>
      <x:c r="F82" s="50" t="str">
        <x:v>https://t.me/simple_quiz/519</x:v>
      </x:c>
      <x:c r="G82" s="50" t="str">
        <x:v>telegram_archive/media/post_0519_photo_01.jpg</x:v>
      </x:c>
      <x:c r="H82" s="51" t="n">
        <x:v>0.9458</x:v>
      </x:c>
      <x:c r="I82" s="50" t="str">
        <x:v>Ответ подтверждён реакцией канала</x:v>
      </x:c>
      <x:c r="J82" s="48"/>
    </x:row>
    <x:row r="83" ht="72" customHeight="1">
      <x:c r="A83" s="48" t="str">
        <x:v>TG-0520</x:v>
      </x:c>
      <x:c r="B83" s="49" t="n">
        <x:v>46079</x:v>
      </x:c>
      <x:c r="C83" s="48" t="n">
        <x:v>520</x:v>
      </x:c>
      <x:c r="D83" s="50" t="str">
        <x:v>Блогер Софья Шамсутдинова ведет блог на «Спортсе”» и снимает рилзы Ha тему того, как учится играть в футбол: в роликах она чеканит мяч и делает разнообразные трюки. Название ее блога - каламбур, связанный сее именем и хорватским ресурсом, помогающим следить за ходом матча. Воспроизведите ее никнейм на «Спортсе”» и в других соцсетях.</x:v>
      </x:c>
      <x:c r="E83" s="50" t="str">
        <x:v>Sofascore</x:v>
      </x:c>
      <x:c r="F83" s="50" t="str">
        <x:v>https://t.me/simple_quiz/520</x:v>
      </x:c>
      <x:c r="G83" s="50" t="str">
        <x:v>telegram_archive/media/post_0520_photo_01.jpg</x:v>
      </x:c>
      <x:c r="H83" s="51" t="n">
        <x:v>0.9383</x:v>
      </x:c>
      <x:c r="I83" s="50" t="str">
        <x:v>Ответ подтверждён реакцией канала</x:v>
      </x:c>
      <x:c r="J83" s="48"/>
    </x:row>
    <x:row r="84" ht="72" customHeight="1">
      <x:c r="A84" s="48" t="str">
        <x:v>TG-0521</x:v>
      </x:c>
      <x:c r="B84" s="49" t="n">
        <x:v>46080</x:v>
      </x:c>
      <x:c r="C84" s="48" t="n">
        <x:v>521</x:v>
      </x:c>
      <x:c r="D84" s="50" t="str">
        <x:v>В треке рэпера «эхопрокуренныхподъездов», посвященном одному из футболистов, есть следующие строчки: «И тебе больше не увидеть, как Кану Заколачивает со стандарта ИКС» ИКС реально забивал Кану со стандарта. Назовите ИКС.</x:v>
      </x:c>
      <x:c r="E84" s="50" t="str">
        <x:v>Не опубликован в посте</x:v>
      </x:c>
      <x:c r="F84" s="50" t="str">
        <x:v>https://t.me/simple_quiz/521</x:v>
      </x:c>
      <x:c r="G84" s="50" t="str">
        <x:v>telegram_archive/media/post_0521_photo_01.jpg</x:v>
      </x:c>
      <x:c r="H84" s="51" t="n">
        <x:v>0.9541</x:v>
      </x:c>
      <x:c r="I84" s="50" t="str">
        <x:v>Распознано — проверить ответ</x:v>
      </x:c>
      <x:c r="J84" s="48"/>
    </x:row>
    <x:row r="85" ht="72" customHeight="1">
      <x:c r="A85" s="48" t="str">
        <x:v>TG-0524</x:v>
      </x:c>
      <x:c r="B85" s="49" t="n">
        <x:v>46081</x:v>
      </x:c>
      <x:c r="C85" s="48" t="n">
        <x:v>524</x:v>
      </x:c>
      <x:c r="D85" s="50" t="str">
        <x:v>Фотограф Денис Тырин опубликовал фотографию с турнира по фигурному катанию. Благодаря талантливому кадрированию фото от названия турнира на рекламном щите за спиной Аделии Петросян осталось лишь шесть букв, что добавило фотографии дополнительный смысл. Эти шесть букв вы можете найти даже в первом абзаце вопроса. Напишите их.</x:v>
      </x:c>
      <x:c r="E85" s="50" t="str">
        <x:v>Пофигу</x:v>
      </x:c>
      <x:c r="F85" s="50" t="str">
        <x:v>https://t.me/simple_quiz/524</x:v>
      </x:c>
      <x:c r="G85" s="50" t="str">
        <x:v>telegram_archive/media/post_0524_photo_01.jpg</x:v>
      </x:c>
      <x:c r="H85" s="51" t="n">
        <x:v>0.9588</x:v>
      </x:c>
      <x:c r="I85" s="50" t="str">
        <x:v>Ответ подтверждён реакцией канала</x:v>
      </x:c>
      <x:c r="J85" s="48"/>
    </x:row>
    <x:row r="86" ht="72" customHeight="1">
      <x:c r="A86" s="48" t="str">
        <x:v>TG-0527</x:v>
      </x:c>
      <x:c r="B86" s="49" t="n">
        <x:v>46082</x:v>
      </x:c>
      <x:c r="C86" s="48" t="n">
        <x:v>527</x:v>
      </x:c>
      <x:c r="D86" s="50" t="str">
        <x:v>ИКС - фамилия довольно известного монстра. Если к ИКСУ добавить гласную букву и еще один орфографический знак, получится совершенно другой монстр: семикратный чемпион мира, выступающий на про-уровне вот уже 33 года. Назовите вид спорта, в котором выступает второй монстр.</x:v>
      </x:c>
      <x:c r="E86" s="50" t="str">
        <x:v>Снукер</x:v>
      </x:c>
      <x:c r="F86" s="50" t="str">
        <x:v>https://t.me/simple_quiz/527</x:v>
      </x:c>
      <x:c r="G86" s="50" t="str">
        <x:v>telegram_archive/media/post_0527_photo_01.jpg</x:v>
      </x:c>
      <x:c r="H86" s="51" t="n">
        <x:v>0.9528</x:v>
      </x:c>
      <x:c r="I86" s="50" t="str">
        <x:v>Ответ подтверждён реакцией канала</x:v>
      </x:c>
      <x:c r="J86" s="48"/>
    </x:row>
    <x:row r="87" ht="72" customHeight="1">
      <x:c r="A87" s="48" t="str">
        <x:v>TG-0535</x:v>
      </x:c>
      <x:c r="B87" s="49" t="n">
        <x:v>46086</x:v>
      </x:c>
      <x:c r="C87" s="48" t="n">
        <x:v>535</x:v>
      </x:c>
      <x:c r="D87" s="50" t="str">
        <x:v>Среди экс-комментаторов «НТВ-Плюс», оказавшихся на «Матч ТВ», пригласили и ЗАМЕНА. ЗАМЕНА - один из футболистов «Комо». Игрок проводит лишь первый сезон в Серии А после трансфера из загребского «Динамо». Что мы зашифровали под ЗАМЕНА?</x:v>
      </x:c>
      <x:c r="E87" s="50" t="str">
        <x:v>Батурина</x:v>
      </x:c>
      <x:c r="F87" s="50" t="str">
        <x:v>https://t.me/simple_quiz/535</x:v>
      </x:c>
      <x:c r="G87" s="50" t="str">
        <x:v>telegram_archive/media/post_0535_photo_01.jpg</x:v>
      </x:c>
      <x:c r="H87" s="51" t="n">
        <x:v>0.9521</x:v>
      </x:c>
      <x:c r="I87" s="50" t="str">
        <x:v>Ответ подтверждён реакцией канала</x:v>
      </x:c>
      <x:c r="J87" s="48"/>
    </x:row>
    <x:row r="88" ht="72" customHeight="1">
      <x:c r="A88" s="48" t="str">
        <x:v>TG-0542</x:v>
      </x:c>
      <x:c r="B88" s="49" t="n">
        <x:v>46087</x:v>
      </x:c>
      <x:c r="C88" s="48" t="n">
        <x:v>542</x:v>
      </x:c>
      <x:c r="D88" s="50" t="str">
        <x:v>В диджитал-версии журнала «Коммерсантъ» публикация, посвященная победе Андрея Рублева над Роджером Федерером, была озаглавлена следующим образом: «Андрей Рублев СДЕЛАЛ ЭТО». В 1904 году в Казанском Богородицком монастыре СДЕЛАЛИ ЭТО - это один из самых известных подобных случаев в России. Закончите заголовок «Коммерсанта» двумя словами.</x:v>
      </x:c>
      <x:c r="E88" s="50" t="str">
        <x:v>Вынес икону</x:v>
      </x:c>
      <x:c r="F88" s="50" t="str">
        <x:v>https://t.me/simple_quiz/542</x:v>
      </x:c>
      <x:c r="G88" s="50" t="str">
        <x:v>telegram_archive/media/post_0542_photo_01.jpg</x:v>
      </x:c>
      <x:c r="H88" s="51" t="n">
        <x:v>0.9577</x:v>
      </x:c>
      <x:c r="I88" s="50" t="str">
        <x:v>Ответ подтверждён реакцией канала</x:v>
      </x:c>
      <x:c r="J88" s="48"/>
    </x:row>
    <x:row r="89" ht="72" customHeight="1">
      <x:c r="A89" s="48" t="str">
        <x:v>TG-0544</x:v>
      </x:c>
      <x:c r="B89" s="49" t="n">
        <x:v>46088</x:v>
      </x:c>
      <x:c r="C89" s="48" t="n">
        <x:v>544</x:v>
      </x:c>
      <x:c r="D89" s="50" t="str">
        <x:v>Довольно известный русский иконописец ИКС родился и вырос в Византии, поэтому вошел в историю как ИКС ИГРЕК. Сразу 23 чемпиона Европы по футболу в 21-м веке были ИГРЕКАМИ. Назовите ИГРЕК.</x:v>
      </x:c>
      <x:c r="E89" s="50" t="str">
        <x:v>Феофан Грек</x:v>
      </x:c>
      <x:c r="F89" s="50" t="str">
        <x:v>https://t.me/simple_quiz/544</x:v>
      </x:c>
      <x:c r="G89" s="50" t="str">
        <x:v>telegram_archive/media/post_0544_photo_01.jpg</x:v>
      </x:c>
      <x:c r="H89" s="51" t="n">
        <x:v>0.9529</x:v>
      </x:c>
      <x:c r="I89" s="50" t="str">
        <x:v>Ответ подтверждён реакцией канала</x:v>
      </x:c>
      <x:c r="J89" s="48"/>
    </x:row>
    <x:row r="90" ht="72" customHeight="1">
      <x:c r="A90" s="48" t="str">
        <x:v>TG-0545</x:v>
      </x:c>
      <x:c r="B90" s="49" t="n">
        <x:v>46090</x:v>
      </x:c>
      <x:c r="C90" s="48" t="n">
        <x:v>545</x:v>
      </x:c>
      <x:c r="D90" s="50" t="str">
        <x:v>В средневековье во время осады города вражескими войсками в населенном пункте зачастую начинался ОН. Вы можете знать другого ЕГО: он периодически появляется в студии «Матч ТВ». Назовите ЕГО.</x:v>
      </x:c>
      <x:c r="E90" s="50" t="str">
        <x:v>Мор</x:v>
      </x:c>
      <x:c r="F90" s="50" t="str">
        <x:v>https://t.me/simple_quiz/545</x:v>
      </x:c>
      <x:c r="G90" s="50" t="str">
        <x:v>telegram_archive/media/post_0545_photo_01.jpg</x:v>
      </x:c>
      <x:c r="H90" s="51" t="n">
        <x:v>0.9621</x:v>
      </x:c>
      <x:c r="I90" s="50" t="str">
        <x:v>Ответ подтверждён реакцией канала</x:v>
      </x:c>
      <x:c r="J90" s="48"/>
    </x:row>
    <x:row r="91" ht="72" customHeight="1">
      <x:c r="A91" s="48" t="str">
        <x:v>TG-0551</x:v>
      </x:c>
      <x:c r="B91" s="49" t="n">
        <x:v>46097</x:v>
      </x:c>
      <x:c r="C91" s="48" t="n">
        <x:v>551</x:v>
      </x:c>
      <x:c r="D91" s="50" t="str">
        <x:v>ИИ-художник jslayart составил несколько ростеров по определенному принципу. В одну команду вошли Джейлен Брансон, Наруто, Гоку, Существо, Микеланджело, Аанг. В другую - Патрик Махоумс, Майкл Джордан, Флеш, Тайгер Вудс, Дэдпул. В третью - Ламар Джексон, TaHoc, Джокер, Канг Завоеватель, Фриза. По какому принципу составлены эти ростеры?</x:v>
      </x:c>
      <x:c r="E91" s="50" t="str">
        <x:v>По цветам костюмов: оранжевый, красный, фиолетовый</x:v>
      </x:c>
      <x:c r="F91" s="50" t="str">
        <x:v>https://t.me/simple_quiz/551</x:v>
      </x:c>
      <x:c r="G91" s="50" t="str">
        <x:v>telegram_archive/media/post_0551_photo_01.jpg</x:v>
      </x:c>
      <x:c r="H91" s="51" t="n">
        <x:v>0.941</x:v>
      </x:c>
      <x:c r="I91" s="50" t="str">
        <x:v>Ответ подтверждён реакцией канала</x:v>
      </x:c>
      <x:c r="J91" s="48"/>
    </x:row>
    <x:row r="92" ht="72" customHeight="1">
      <x:c r="A92" s="48" t="str">
        <x:v>TG-0552</x:v>
      </x:c>
      <x:c r="B92" s="49" t="n">
        <x:v>46098</x:v>
      </x:c>
      <x:c r="C92" s="48" t="n">
        <x:v>552</x:v>
      </x:c>
      <x:c r="D92" s="50" t="str">
        <x:v>В январе 2013 года Ha Sports.ru вышел пост Кирилла Благова, посвященный лишнему весу звезды РПЛ из Эквадора. Вторая часть заголовка выглядела так: «Как отпуск Кайседо превратился в событие». Первая состояла из имени и фамилии известного южноамериканского спортсмена. Воспроизведите каламбур из первой части заголовка.</x:v>
      </x:c>
      <x:c r="E92" s="50" t="str">
        <x:v>Фелипе Масса</x:v>
      </x:c>
      <x:c r="F92" s="50" t="str">
        <x:v>https://t.me/simple_quiz/552</x:v>
      </x:c>
      <x:c r="G92" s="50" t="str">
        <x:v>telegram_archive/media/post_0552_photo_01.jpg</x:v>
      </x:c>
      <x:c r="H92" s="51" t="n">
        <x:v>0.9534</x:v>
      </x:c>
      <x:c r="I92" s="50" t="str">
        <x:v>Ответ подтверждён реакцией канала</x:v>
      </x:c>
      <x:c r="J92" s="48"/>
    </x:row>
    <x:row r="93" ht="72" customHeight="1">
      <x:c r="A93" s="48" t="str">
        <x:v>TG-0553</x:v>
      </x:c>
      <x:c r="B93" s="49" t="n">
        <x:v>46099</x:v>
      </x:c>
      <x:c r="C93" s="48" t="n">
        <x:v>553</x:v>
      </x:c>
      <x:c r="D93" s="50" t="str">
        <x:v>Серхио Перес, Сергей Карякин, Артур Шилов - всех их называли ИМ. Маурицио Сарри называл ИМ Лучано Спаллетти. Действующего ЕГО мы называть не будем. Назовите ЕГО двумя словами.</x:v>
      </x:c>
      <x:c r="E93" s="50" t="str">
        <x:v>Министр обороны</x:v>
      </x:c>
      <x:c r="F93" s="50" t="str">
        <x:v>https://t.me/simple_quiz/553</x:v>
      </x:c>
      <x:c r="G93" s="50" t="str">
        <x:v>telegram_archive/media/post_0553_photo_01.jpg</x:v>
      </x:c>
      <x:c r="H93" s="51" t="n">
        <x:v>0.956</x:v>
      </x:c>
      <x:c r="I93" s="50" t="str">
        <x:v>Ответ подтверждён реакцией канала</x:v>
      </x:c>
      <x:c r="J93" s="48"/>
    </x:row>
    <x:row r="94" ht="72" customHeight="1">
      <x:c r="A94" s="48" t="str">
        <x:v>TG-0555</x:v>
      </x:c>
      <x:c r="B94" s="49" t="n">
        <x:v>46102</x:v>
      </x:c>
      <x:c r="C94" s="48" t="n">
        <x:v>555</x:v>
      </x:c>
      <x:c r="D94" s="50" t="str">
        <x:v>ОНО - один из самых популярных фильмов Брайана Де Пальмы. ОНО - прозвище культового футболиста, который отбегал 17 матчей за «Галатасарай», а потом 17 лет играл исключительно в клубах из топ-5 лиг Европы. Что такое ОНО? Ответьте тремя словами.</x:v>
      </x:c>
      <x:c r="E94" s="50" t="str">
        <x:v>Лицо со шрамом</x:v>
      </x:c>
      <x:c r="F94" s="50" t="str">
        <x:v>https://t.me/simple_quiz/555</x:v>
      </x:c>
      <x:c r="G94" s="50" t="str">
        <x:v>telegram_archive/media/post_0555_photo_01.jpg</x:v>
      </x:c>
      <x:c r="H94" s="51" t="n">
        <x:v>0.9556</x:v>
      </x:c>
      <x:c r="I94" s="50" t="str">
        <x:v>Ответ подтверждён реакцией канала</x:v>
      </x:c>
      <x:c r="J94" s="48"/>
    </x:row>
    <x:row r="95" ht="72" customHeight="1">
      <x:c r="A95" s="48" t="str">
        <x:v>TG-0561</x:v>
      </x:c>
      <x:c r="B95" s="49" t="n">
        <x:v>46108</x:v>
      </x:c>
      <x:c r="C95" s="48" t="n">
        <x:v>561</x:v>
      </x:c>
      <x:c r="D95" s="50" t="str">
        <x:v>_—— ss В 2021 году в Германии выпустили 110 почтовые марки, посвященные 25- о к Fa С летнему юбилею победы ЕГО a АА. ag м4 *у над действующим на тот момент им а ем 3 тг AS dy Hye чемпионом мира Гарри Каспаровым. и мм “a ast i Несмотря на то, что мы скрыли 2 ЖЕ! фрагмент марки, вы все равно можете a F рассмотреть ЕГО на изображении. САВЕ! KASPAROW 20216 Назовите ЕГО имя двумя английскими словами абсолютно точно.</x:v>
      </x:c>
      <x:c r="E95" s="50" t="str">
        <x:v>Deep Blue</x:v>
      </x:c>
      <x:c r="F95" s="50" t="str">
        <x:v>https://t.me/simple_quiz/561</x:v>
      </x:c>
      <x:c r="G95" s="50" t="str">
        <x:v>telegram_archive/media/post_0561_photo_01.jpg</x:v>
      </x:c>
      <x:c r="H95" s="51" t="n">
        <x:v>0.7426</x:v>
      </x:c>
      <x:c r="I95" s="50" t="str">
        <x:v>Ответ подтверждён реакцией канала</x:v>
      </x:c>
      <x:c r="J95" s="48"/>
    </x:row>
    <x:row r="96" ht="72" customHeight="1">
      <x:c r="A96" s="48" t="str">
        <x:v>TG-0567</x:v>
      </x:c>
      <x:c r="B96" s="49" t="n">
        <x:v>46114</x:v>
      </x:c>
      <x:c r="C96" s="48" t="n">
        <x:v>567</x:v>
      </x:c>
      <x:c r="D96" s="50" t="str">
        <x:v>В США начали принимать ставки на то, кто СДЕЛАЕТ ЭТО до 2027 года. Иронично, что шансы на то, что Леброн Джеймс СДЕЛАЕТ ЭТО до 2027 года, оценивают выше, чем шансы на чемпионство «Лейкерс». Согласно котировкам букмекеров, шансы Леброна на то, что он СДЕЛАЕТ ЭТО до 2027 года, ниже, чем, например, владельца «Далласа» Марка Кьюбана, экс-игрока НФЛ Тома Брэйди, спортивного аналитика Стивена Эй Смита, а еще - Дуэйна «Скалы» Джонсона, Джорджа Клуни, Илона Маска и Ким Кардашьян. Что мы зашифровали под СДЕЛАЕТ ЭТО?</x:v>
      </x:c>
      <x:c r="E96" s="50" t="str">
        <x:v>Объявит о выдвижении в президенты</x:v>
      </x:c>
      <x:c r="F96" s="50" t="str">
        <x:v>https://t.me/simple_quiz/567</x:v>
      </x:c>
      <x:c r="G96" s="50" t="str">
        <x:v>telegram_archive/media/post_0567_photo_01.jpg</x:v>
      </x:c>
      <x:c r="H96" s="51" t="n">
        <x:v>0.9525</x:v>
      </x:c>
      <x:c r="I96" s="50" t="str">
        <x:v>Ответ подтверждён реакцией канала</x:v>
      </x:c>
      <x:c r="J96" s="48"/>
    </x:row>
    <x:row r="97" ht="72" customHeight="1">
      <x:c r="A97" s="48" t="str">
        <x:v>TG-0568</x:v>
      </x:c>
      <x:c r="B97" s="49" t="n">
        <x:v>46116</x:v>
      </x:c>
      <x:c r="C97" s="48" t="n">
        <x:v>568</x:v>
      </x:c>
      <x:c r="D97" s="50" t="str">
        <x:v>В 1921 году британец Гарольд Сирлс Торнтон запатентовал некое устройство. Его структуру можно описать числовым рядом «123553 2 I». Сейчас многие из вас знают это устройство как ИКС Другой ИКС, который вы тоже можете знать, был основан на год раньше, в 1920 году в Нюрнберге. Назовите ИКС.</x:v>
      </x:c>
      <x:c r="E97" s="50" t="str">
        <x:v>Кикер</x:v>
      </x:c>
      <x:c r="F97" s="50" t="str">
        <x:v>https://t.me/simple_quiz/568</x:v>
      </x:c>
      <x:c r="G97" s="50" t="str">
        <x:v>telegram_archive/media/post_0568_photo_01.jpg</x:v>
      </x:c>
      <x:c r="H97" s="51" t="n">
        <x:v>0.9548</x:v>
      </x:c>
      <x:c r="I97" s="50" t="str">
        <x:v>Ответ подтверждён реакцией канала</x:v>
      </x:c>
      <x:c r="J97" s="48"/>
    </x:row>
    <x:row r="98" ht="72" customHeight="1">
      <x:c r="A98" s="48" t="str">
        <x:v>TG-0569</x:v>
      </x:c>
      <x:c r="B98" s="49" t="n">
        <x:v>46116</x:v>
      </x:c>
      <x:c r="C98" s="48" t="n">
        <x:v>569</x:v>
      </x:c>
      <x:c r="D98" s="50" t="str">
        <x:v>В 2008 году сайт Goal.com опубликовал пост, посвященный поражению «Ювентуса» в еврокубковом матче. Он звучал на английском так: «Old Lady unable to master ПРОПУСК at home». Разумеется, в заголовке зашифрована игра слов, причем довольно непристойная. Заполните ПРОПУСК четырьмя буквами.</x:v>
      </x:c>
      <x:c r="E98" s="50" t="str">
        <x:v>БАТЭ</x:v>
      </x:c>
      <x:c r="F98" s="50" t="str">
        <x:v>https://t.me/simple_quiz/569</x:v>
      </x:c>
      <x:c r="G98" s="50" t="str">
        <x:v>telegram_archive/media/post_0569_photo_01.jpg</x:v>
      </x:c>
      <x:c r="H98" s="51" t="n">
        <x:v>0.9497</x:v>
      </x:c>
      <x:c r="I98" s="50" t="str">
        <x:v>Ответ подтверждён реакцией канала</x:v>
      </x:c>
      <x:c r="J98" s="48"/>
    </x:row>
    <x:row r="99" ht="72" customHeight="1">
      <x:c r="A99" s="48" t="str">
        <x:v>TG-0570</x:v>
      </x:c>
      <x:c r="B99" s="49" t="n">
        <x:v>46117</x:v>
      </x:c>
      <x:c r="C99" s="48" t="n">
        <x:v>570</x:v>
      </x:c>
      <x:c r="D99" s="50" t="str">
        <x:v>«Википедия» считает, что одна ОНА больше известна под фамилией Белобородова. МОК аннулировал ее золотую медаль Олимпиады-2012. Другая ОНА имела непосредственное отношение к интеллектуальным играм, но стала известной благодаря спортивным медиа. ОН - один из самых заметных и известных журналистов «Чемпионата». Какая фамилия объединяет этих людей?</x:v>
      </x:c>
      <x:c r="E99" s="50" t="str">
        <x:v>Лысенко</x:v>
      </x:c>
      <x:c r="F99" s="50" t="str">
        <x:v>https://t.me/simple_quiz/570</x:v>
      </x:c>
      <x:c r="G99" s="50" t="str">
        <x:v>telegram_archive/media/post_0570_photo_01.jpg</x:v>
      </x:c>
      <x:c r="H99" s="51" t="n">
        <x:v>0.9488</x:v>
      </x:c>
      <x:c r="I99" s="50" t="str">
        <x:v>Ответ подтверждён реакцией канала</x:v>
      </x:c>
      <x:c r="J99" s="48"/>
    </x:row>
    <x:row r="100" ht="72" customHeight="1">
      <x:c r="A100" s="48" t="str">
        <x:v>TG-0571</x:v>
      </x:c>
      <x:c r="B100" s="49" t="n">
        <x:v>46118</x:v>
      </x:c>
      <x:c r="C100" s="48" t="n">
        <x:v>571</x:v>
      </x:c>
      <x:c r="D100" s="50" t="str">
        <x:v>Мария побеждала на чемпионатах мира, Европы и континентальных кубках и до замужества. Но олимпийское золото покорилось ей лишь тогда, когда ее муж прокомментировал ее выступление в эфире «Первого канала». Назовите актуальную фамилию Марии.</x:v>
      </x:c>
      <x:c r="E100" s="50" t="str">
        <x:v>Не опубликован в посте</x:v>
      </x:c>
      <x:c r="F100" s="50" t="str">
        <x:v>https://t.me/simple_quiz/571</x:v>
      </x:c>
      <x:c r="G100" s="50" t="str">
        <x:v>telegram_archive/media/post_0571_photo_01.jpg</x:v>
      </x:c>
      <x:c r="H100" s="51" t="n">
        <x:v>0.9618</x:v>
      </x:c>
      <x:c r="I100" s="50" t="str">
        <x:v>Распознано — проверить ответ</x:v>
      </x:c>
      <x:c r="J100" s="48"/>
    </x:row>
    <x:row r="101" ht="72" customHeight="1">
      <x:c r="A101" s="48" t="str">
        <x:v>TG-0572</x:v>
      </x:c>
      <x:c r="B101" s="49" t="n">
        <x:v>46121</x:v>
      </x:c>
      <x:c r="C101" s="48" t="n">
        <x:v>572</x:v>
      </x:c>
      <x:c r="D101" s="50" t="str">
        <x:v>50 Cent - 21 ИКС. Обладатель второго места конкурса комментаторов «России-2» в 2012 году - 50 ИКСОВ. Чему равен ИКС?</x:v>
      </x:c>
      <x:c r="E101" s="50" t="str">
        <x:v>Вопрос (question)</x:v>
      </x:c>
      <x:c r="F101" s="50" t="str">
        <x:v>https://t.me/simple_quiz/572</x:v>
      </x:c>
      <x:c r="G101" s="50" t="str">
        <x:v>telegram_archive/media/post_0572_photo_01.jpg</x:v>
      </x:c>
      <x:c r="H101" s="51" t="n">
        <x:v>0.9431</x:v>
      </x:c>
      <x:c r="I101" s="50" t="str">
        <x:v>Ответ подтверждён реакцией канала</x:v>
      </x:c>
      <x:c r="J101" s="48"/>
    </x:row>
    <x:row r="102" ht="72" customHeight="1">
      <x:c r="A102" s="48" t="str">
        <x:v>TG-0587</x:v>
      </x:c>
      <x:c r="B102" s="49" t="n">
        <x:v>46139</x:v>
      </x:c>
      <x:c r="C102" s="48" t="n">
        <x:v>587</x:v>
      </x:c>
      <x:c r="D102" s="50" t="str">
        <x:v>В пьесе «Двенадцатая ночь» Уильям Шекспир писал, что дурацкий колпак ПРОПУСК не портит. ПРОПУСК точно не испортил «Кливленд» в 2016 году, ведь команда стала чемпионом НБА. Восполните ПРОПУСК.</x:v>
      </x:c>
      <x:c r="E102" s="50" t="str">
        <x:v>Мозгов</x:v>
      </x:c>
      <x:c r="F102" s="50" t="str">
        <x:v>https://t.me/simple_quiz/587</x:v>
      </x:c>
      <x:c r="G102" s="50" t="str">
        <x:v>telegram_archive/media/post_0587_photo_01.jpg</x:v>
      </x:c>
      <x:c r="H102" s="51" t="n">
        <x:v>0.9624</x:v>
      </x:c>
      <x:c r="I102" s="50" t="str">
        <x:v>Ответ подтверждён реакцией канала</x:v>
      </x:c>
      <x:c r="J102" s="48"/>
    </x:row>
    <x:row r="103" ht="72" customHeight="1">
      <x:c r="A103" s="48" t="str">
        <x:v>TG-0588</x:v>
      </x:c>
      <x:c r="B103" s="49" t="n">
        <x:v>46139</x:v>
      </x:c>
      <x:c r="C103" s="48" t="n">
        <x:v>588</x:v>
      </x:c>
      <x:c r="D103" s="50" t="str">
        <x:v>Матч «Арсенала» и «Кристал Пэласа» 1 января 2017 года вызвал много шуток и реакций в соцсетях и на спортивных сайтах из-за ЕГО гола: русскоязычные фанаты футбола посчитали ЕГО гол довольно символичным. Кто забил гол в том матче?</x:v>
      </x:c>
      <x:c r="E103" s="50" t="str">
        <x:v>Оливье Жиру</x:v>
      </x:c>
      <x:c r="F103" s="50" t="str">
        <x:v>https://t.me/simple_quiz/588</x:v>
      </x:c>
      <x:c r="G103" s="50" t="str">
        <x:v>telegram_archive/media/post_0588_photo_01.jpg</x:v>
      </x:c>
      <x:c r="H103" s="51" t="n">
        <x:v>0.9576</x:v>
      </x:c>
      <x:c r="I103" s="50" t="str">
        <x:v>Ответ подтверждён реакцией канала</x:v>
      </x:c>
      <x:c r="J103" s="48"/>
    </x:row>
    <x:row r="104" ht="72" customHeight="1">
      <x:c r="A104" s="48" t="str">
        <x:v>TG-0589</x:v>
      </x:c>
      <x:c r="B104" s="49" t="n">
        <x:v>46140</x:v>
      </x:c>
      <x:c r="C104" s="48" t="n">
        <x:v>589</x:v>
      </x:c>
      <x:c r="D104" s="50" t="str">
        <x:v>ОН на английском - бывший футболист, забивавший за «Лацио» и «Рейнджерс». ОН на русском - главный герой мультфильма «Пес в сапогах». Назовите ЕГО по-английски или по-русски.</x:v>
      </x:c>
      <x:c r="E104" s="50" t="str">
        <x:v>Gascoigne / Гасконец</x:v>
      </x:c>
      <x:c r="F104" s="50" t="str">
        <x:v>https://t.me/simple_quiz/589</x:v>
      </x:c>
      <x:c r="G104" s="50" t="str">
        <x:v>telegram_archive/media/post_0589_photo_01.jpg</x:v>
      </x:c>
      <x:c r="H104" s="51" t="n">
        <x:v>0.9447</x:v>
      </x:c>
      <x:c r="I104" s="50" t="str">
        <x:v>Ответ подтверждён реакцией канала</x:v>
      </x:c>
      <x:c r="J104" s="48"/>
    </x:row>
    <x:row r="105" ht="72" customHeight="1">
      <x:c r="A105" s="48" t="str">
        <x:v>TG-0594</x:v>
      </x:c>
      <x:c r="B105" s="49" t="n">
        <x:v>46142</x:v>
      </x:c>
      <x:c r="C105" s="48" t="n">
        <x:v>594</x:v>
      </x:c>
      <x:c r="D105" s="50" t="str">
        <x:v>Жительница Манилы четыре года молилась статуэтке ИКСА, ошибочно думая, что это Хотэй - популярное в китайской культуре божество счастья, благополучия, веселья и общения. Ее смутил большой живот статуэтки. ИКС — прозвище футболиста, который по завершении карьеры потренировал клубы из Вашингтона, Плимута, Бирмингема и Дерби. Назовите ИКС.</x:v>
      </x:c>
      <x:c r="E105" s="50" t="str">
        <x:v>Шрек</x:v>
      </x:c>
      <x:c r="F105" s="50" t="str">
        <x:v>https://t.me/simple_quiz/594</x:v>
      </x:c>
      <x:c r="G105" s="50" t="str">
        <x:v>telegram_archive/media/post_0594_photo_01.jpg</x:v>
      </x:c>
      <x:c r="H105" s="51" t="n">
        <x:v>0.9422</x:v>
      </x:c>
      <x:c r="I105" s="50" t="str">
        <x:v>Ответ подтверждён реакцией канала</x:v>
      </x:c>
      <x:c r="J105" s="48"/>
    </x:row>
    <x:row r="106" ht="72" customHeight="1">
      <x:c r="A106" s="48" t="str">
        <x:v>TG-0601</x:v>
      </x:c>
      <x:c r="B106" s="49" t="n">
        <x:v>46147</x:v>
      </x:c>
      <x:c r="C106" s="48" t="n">
        <x:v>601</x:v>
      </x:c>
      <x:c r="D106" s="50" t="str">
        <x:v>На альбоме «Пиры и раны» группы «Кровосток» есть песна «ЗАМЕНА». ЗАМЕНА состоит из двух глаголов, которые образуют фразу, используемую для ироничного описания тактики некоторых футбольных команд. ЗАМЕНА - правда, с чуть измененной орфографией, — название ныне несуществующей медиафутбольной команды. Воспроизведите ЗАМЕНУ.</x:v>
      </x:c>
      <x:c r="E106" s="50" t="str">
        <x:v>Бей-беги</x:v>
      </x:c>
      <x:c r="F106" s="50" t="str">
        <x:v>https://t.me/simple_quiz/601</x:v>
      </x:c>
      <x:c r="G106" s="50" t="str">
        <x:v>telegram_archive/media/post_0601_photo_01.jpg</x:v>
      </x:c>
      <x:c r="H106" s="51" t="n">
        <x:v>0.9477</x:v>
      </x:c>
      <x:c r="I106" s="50" t="str">
        <x:v>Ответ подтверждён реакцией канала</x:v>
      </x:c>
      <x:c r="J106" s="48"/>
    </x:row>
    <x:row r="107" ht="72" customHeight="1">
      <x:c r="A107" s="48" t="str">
        <x:v>TG-0604</x:v>
      </x:c>
      <x:c r="B107" s="49" t="n">
        <x:v>46147</x:v>
      </x:c>
      <x:c r="C107" s="48" t="n">
        <x:v>604</x:v>
      </x:c>
      <x:c r="D107" s="50" t="str">
        <x:v>Сайт 9meters подсчитал, что в мире живет 2700 ТАКИХ людей. 33 из 2700 ТАКИХ людей играют в НБА. ТАКИЕ - составное прилагательное, причем второй корень очень редко используется в России и часто — в США. Что мы зашифровали под ТАКИМИ?</x:v>
      </x:c>
      <x:c r="E107" s="50" t="str">
        <x:v>Семифутеры</x:v>
      </x:c>
      <x:c r="F107" s="50" t="str">
        <x:v>https://t.me/simple_quiz/604</x:v>
      </x:c>
      <x:c r="G107" s="50" t="str">
        <x:v>telegram_archive/media/post_0604_photo_01.jpg</x:v>
      </x:c>
      <x:c r="H107" s="51" t="n">
        <x:v>0.9475</x:v>
      </x:c>
      <x:c r="I107" s="50" t="str">
        <x:v>Ответ подтверждён реакцией канала</x:v>
      </x:c>
      <x:c r="J107" s="48"/>
    </x:row>
    <x:row r="108" ht="72" customHeight="1">
      <x:c r="A108" s="48" t="str">
        <x:v>TG-0607</x:v>
      </x:c>
      <x:c r="B108" s="49" t="n">
        <x:v>46148</x:v>
      </x:c>
      <x:c r="C108" s="48" t="n">
        <x:v>607</x:v>
      </x:c>
      <x:c r="D108" s="50" t="str">
        <x:v>АЛЬФОЙ в славянской мифологии называли духа умершего человека в облике женщины. Известная вам АЛЬФА - олимпийская чемпионка, которая сначала вышла замуж за тренера, а затем — за человека, в честь отличительной особенности которого назвали либеральное микромедиа. Назовите АЛЬФУ.</x:v>
      </x:c>
      <x:c r="E108" s="50" t="str">
        <x:v>Навка</x:v>
      </x:c>
      <x:c r="F108" s="50" t="str">
        <x:v>https://t.me/simple_quiz/607</x:v>
      </x:c>
      <x:c r="G108" s="50" t="str">
        <x:v>telegram_archive/media/post_0607_photo_01.jpg</x:v>
      </x:c>
      <x:c r="H108" s="51" t="n">
        <x:v>0.9517</x:v>
      </x:c>
      <x:c r="I108" s="50" t="str">
        <x:v>Ответ подтверждён реакцией канала</x:v>
      </x:c>
      <x:c r="J108" s="48"/>
    </x:row>
    <x:row r="109" ht="72" customHeight="1">
      <x:c r="A109" s="48" t="str">
        <x:v>TG-0611</x:v>
      </x:c>
      <x:c r="B109" s="49" t="n">
        <x:v>46150</x:v>
      </x:c>
      <x:c r="C109" s="48" t="n">
        <x:v>611</x:v>
      </x:c>
      <x:c r="D109" s="50" t="str">
        <x:v>Поговорим о маршрутах. Из «Селтикс» в «Суперсоникс» - 90. Из «Селтикс» в «Уорриорз» - 80. Из «Уизардс» в «Уорриорз» - 50. Число, которое соответствует маршруту Пау Газоля в 2014-м, вы прекрасно знаете: ему посвящено много отсылок в поп-культуре. Назовите его.</x:v>
      </x:c>
      <x:c r="E109" s="50" t="str">
        <x:v>Route 66</x:v>
      </x:c>
      <x:c r="F109" s="50" t="str">
        <x:v>https://t.me/simple_quiz/611</x:v>
      </x:c>
      <x:c r="G109" s="50" t="str">
        <x:v>telegram_archive/media/post_0611_photo_01.jpg</x:v>
      </x:c>
      <x:c r="H109" s="51" t="n">
        <x:v>0.9447</x:v>
      </x:c>
      <x:c r="I109" s="50" t="str">
        <x:v>Ответ подтверждён реакцией канала</x:v>
      </x:c>
      <x:c r="J109" s="48"/>
    </x:row>
    <x:row r="110" ht="72" customHeight="1">
      <x:c r="A110" s="48" t="str">
        <x:v>TG-0613</x:v>
      </x:c>
      <x:c r="B110" s="49" t="n">
        <x:v>46150</x:v>
      </x:c>
      <x:c r="C110" s="48" t="n">
        <x:v>613</x:v>
      </x:c>
      <x:c r="D110" s="50" t="str">
        <x:v>Если бы популярный российский блогер получил прозвище, потому что он EE сын, это было бы намного более логично. Но нет: несмотря на совпадение фамилий, он не состоит с НЕЙ в родственных связях. ОНА завоевала серебряную медаль на ОИ в Сиднее и сразу две медали - золото и бронзу - в Афинах. Назовите EE имя и фамилию.</x:v>
      </x:c>
      <x:c r="E110" s="50" t="str">
        <x:v>Татьяна Лебедева</x:v>
      </x:c>
      <x:c r="F110" s="50" t="str">
        <x:v>https://t.me/simple_quiz/613</x:v>
      </x:c>
      <x:c r="G110" s="50" t="str">
        <x:v>telegram_archive/media/post_0613_photo_01.jpg</x:v>
      </x:c>
      <x:c r="H110" s="51" t="n">
        <x:v>0.9554</x:v>
      </x:c>
      <x:c r="I110" s="50" t="str">
        <x:v>Ответ подтверждён реакцией канала</x:v>
      </x:c>
      <x:c r="J110" s="48"/>
    </x:row>
    <x:row r="111" ht="72" customHeight="1">
      <x:c r="A111" s="48" t="str">
        <x:v>TG-0617</x:v>
      </x:c>
      <x:c r="B111" s="49" t="n">
        <x:v>46153</x:v>
      </x:c>
      <x:c r="C111" s="48" t="n">
        <x:v>617</x:v>
      </x:c>
      <x:c r="D111" s="50" t="str">
        <x:v>Один ОН - французский автогонщик, девятикратный чемпион мира. Другой ОН - немецкий автогонщик, четырехкратный чемпион мира. Было бы символично, если бы и первый, и второй ОН одержали победы в одном испанском городе, но гонки, в которых они принимали участие, в нем не проходили. Назовите ЕГО.</x:v>
      </x:c>
      <x:c r="E111" s="50" t="str">
        <x:v>Сан-Себастьян</x:v>
      </x:c>
      <x:c r="F111" s="50" t="str">
        <x:v>https://t.me/simple_quiz/617</x:v>
      </x:c>
      <x:c r="G111" s="50" t="str">
        <x:v>telegram_archive/media/post_0617_photo_01.jpg</x:v>
      </x:c>
      <x:c r="H111" s="51" t="n">
        <x:v>0.9494</x:v>
      </x:c>
      <x:c r="I111" s="50" t="str">
        <x:v>Ответ подтверждён реакцией канала</x:v>
      </x:c>
      <x:c r="J111" s="48"/>
    </x:row>
    <x:row r="112" ht="72" customHeight="1">
      <x:c r="A112" s="48" t="str">
        <x:v>TG-0618</x:v>
      </x:c>
      <x:c r="B112" s="49" t="n">
        <x:v>46153</x:v>
      </x:c>
      <x:c r="C112" s="48" t="n">
        <x:v>618</x:v>
      </x:c>
      <x:c r="D112" s="50" t="str">
        <x:v>1988, 1992, 1996, 2000 - ПЕРВЫЕ. 1988, 1992, 1994, 1998 —- ВТОРЫЕ. Назовите ПЕРВЫЕ и ВТОРЫЕ.</x:v>
      </x:c>
      <x:c r="E112" s="50" t="str">
        <x:v>Летние и зимние Олимпийские игры</x:v>
      </x:c>
      <x:c r="F112" s="50" t="str">
        <x:v>https://t.me/simple_quiz/618</x:v>
      </x:c>
      <x:c r="G112" s="50" t="str">
        <x:v>telegram_archive/media/post_0618_photo_01.jpg</x:v>
      </x:c>
      <x:c r="H112" s="51" t="n">
        <x:v>0.9302</x:v>
      </x:c>
      <x:c r="I112" s="50" t="str">
        <x:v>Ответ подтверждён реакцией канала</x:v>
      </x:c>
      <x:c r="J112" s="48"/>
    </x:row>
    <x:row r="113" ht="72" customHeight="1">
      <x:c r="A113" s="48" t="str">
        <x:v>TG-0620</x:v>
      </x:c>
      <x:c r="B113" s="49" t="n">
        <x:v>46154</x:v>
      </x:c>
      <x:c r="C113" s="48" t="n">
        <x:v>620</x:v>
      </x:c>
      <x:c r="D113" s="50" t="str">
        <x:v>«Манчестер Сити», «Интер», «Лилль», «Бавария», «Атлетико» - все эти клубы объединяет трек FRIENDLY THUG 52 МСС с альбома «Graf Monte-Cristo/Most Valuable Pirate». Воспроизведите название этого трека.</x:v>
      </x:c>
      <x:c r="E113" s="50" t="str">
        <x:v>2021</x:v>
      </x:c>
      <x:c r="F113" s="50" t="str">
        <x:v>https://t.me/simple_quiz/620</x:v>
      </x:c>
      <x:c r="G113" s="50" t="str">
        <x:v>telegram_archive/media/post_0620_photo_01.jpg</x:v>
      </x:c>
      <x:c r="H113" s="51" t="n">
        <x:v>0.9527</x:v>
      </x:c>
      <x:c r="I113" s="50" t="str">
        <x:v>Ответ подтверждён реакцией канала</x:v>
      </x:c>
      <x:c r="J113" s="48"/>
    </x:row>
    <x:row r="114" ht="72" customHeight="1">
      <x:c r="A114" s="48" t="str">
        <x:v>TG-0623</x:v>
      </x:c>
      <x:c r="B114" s="49" t="n">
        <x:v>46155</x:v>
      </x:c>
      <x:c r="C114" s="48" t="n">
        <x:v>623</x:v>
      </x:c>
      <x:c r="D114" s="50" t="str">
        <x:v>В интернете можно найти победителей ЭТОГО турнира с 1949 года. Вот некоторые из них. 2025 - Джексон Шторм. 2024 - Пол Корнев. 2023 - Райан Лэйни. 2022 - Тим Тредлесс. 2021 - Круз Рамирес. 2020 - Чейз Рейселотт. В 2006, 2007, 2009, 2010, 2011, 2012 и 2015 годах победителем становился рекордсмен, которому даже посвятили серию фильмов. Назовите турнир, о котором идет речь.</x:v>
      </x:c>
      <x:c r="E114" s="50" t="str">
        <x:v>Кубок Поршня</x:v>
      </x:c>
      <x:c r="F114" s="50" t="str">
        <x:v>https://t.me/simple_quiz/623</x:v>
      </x:c>
      <x:c r="G114" s="50" t="str">
        <x:v>telegram_archive/media/post_0623_photo_01.jpg</x:v>
      </x:c>
      <x:c r="H114" s="51" t="n">
        <x:v>0.9395</x:v>
      </x:c>
      <x:c r="I114" s="50" t="str">
        <x:v>Ответ подтверждён реакцией канала</x:v>
      </x:c>
      <x:c r="J114" s="48"/>
    </x:row>
    <x:row r="115" ht="72" customHeight="1">
      <x:c r="A115" s="48" t="str">
        <x:v>TG-0624</x:v>
      </x:c>
      <x:c r="B115" s="49" t="n">
        <x:v>46156</x:v>
      </x:c>
      <x:c r="C115" s="48" t="n">
        <x:v>624</x:v>
      </x:c>
      <x:c r="D115" s="50" t="str">
        <x:v>В английском языке для того, чтобы превратить фамилию главного героя культового сериала в фамилию члена Зала славы снукера, необходимо убрать согласную букву. В русском языке для того, чтобы превратить фамилию главного героя культового сериала в фамилию члена Зала славы снукера, необходимо заменить согласную букву. Назовите члена Зала славы снукера, о котором идет речь.</x:v>
      </x:c>
      <x:c r="E115" s="50" t="str">
        <x:v>Марк Селби</x:v>
      </x:c>
      <x:c r="F115" s="50" t="str">
        <x:v>https://t.me/simple_quiz/624</x:v>
      </x:c>
      <x:c r="G115" s="50" t="str">
        <x:v>telegram_archive/media/post_0624_photo_01.jpg</x:v>
      </x:c>
      <x:c r="H115" s="51" t="n">
        <x:v>0.9591</x:v>
      </x:c>
      <x:c r="I115" s="50" t="str">
        <x:v>Ответ подтверждён реакцией канала</x:v>
      </x:c>
      <x:c r="J115" s="48"/>
    </x:row>
    <x:row r="116" ht="72" customHeight="1">
      <x:c r="A116" s="48" t="str">
        <x:v>TG-0625</x:v>
      </x:c>
      <x:c r="B116" s="49" t="n">
        <x:v>46160</x:v>
      </x:c>
      <x:c r="C116" s="48" t="n">
        <x:v>625</x:v>
      </x:c>
      <x:c r="D116" s="50" t="str">
        <x:v>Обидно, что в «Орландо» нет футболиста по имени и фамилии Эйбел - они бы составили потрясающую, чуть ли не братскую связку с другим игроком «Мэджик». Назовите фамилию этого игрока - или ее русскоязычный аналог.</x:v>
      </x:c>
      <x:c r="E116" s="50" t="str">
        <x:v>Каин</x:v>
      </x:c>
      <x:c r="F116" s="50" t="str">
        <x:v>https://t.me/simple_quiz/625</x:v>
      </x:c>
      <x:c r="G116" s="50" t="str">
        <x:v>telegram_archive/media/post_0625_photo_01.jpg</x:v>
      </x:c>
      <x:c r="H116" s="51" t="n">
        <x:v>0.9531</x:v>
      </x:c>
      <x:c r="I116" s="50" t="str">
        <x:v>Ответ подтверждён реакцией канала</x:v>
      </x:c>
      <x:c r="J116" s="48"/>
    </x:row>
    <x:row r="117" ht="72" customHeight="1">
      <x:c r="A117" s="48" t="str">
        <x:v>TG-0628</x:v>
      </x:c>
      <x:c r="B117" s="49" t="n">
        <x:v>46166</x:v>
      </x:c>
      <x:c r="C117" s="48" t="n">
        <x:v>628</x:v>
      </x:c>
      <x:c r="D117" s="50" t="str">
        <x:v>Баскетболист «Никс» Карл-Энтони Таунс приехал на Матч звезд НБА в бомбере, на спине которого был изображен христианский святой в узнаваемом образе. Согласно житию этого святого, он родился в Каппадокии. А его изображение вы точно видели много раз. Возможно, вам помогут догадаться, где оно вам встречалось, числа 1, 5, 10 и 50. Назовите этого святого двумя словами.</x:v>
      </x:c>
      <x:c r="E117" s="50" t="str">
        <x:v>Георгий Победоносец</x:v>
      </x:c>
      <x:c r="F117" s="50" t="str">
        <x:v>https://t.me/simple_quiz/628</x:v>
      </x:c>
      <x:c r="G117" s="50" t="str">
        <x:v>telegram_archive/media/post_0628_photo_01.jpg</x:v>
      </x:c>
      <x:c r="H117" s="51" t="n">
        <x:v>0.9471</x:v>
      </x:c>
      <x:c r="I117" s="50" t="str">
        <x:v>Ответ подтверждён реакцией канала</x:v>
      </x:c>
      <x:c r="J117" s="48"/>
    </x:row>
    <x:row r="118" ht="72" customHeight="1">
      <x:c r="A118" s="48" t="str">
        <x:v>TG-0635</x:v>
      </x:c>
      <x:c r="B118" s="49" t="n">
        <x:v>46171</x:v>
      </x:c>
      <x:c r="C118" s="48" t="n">
        <x:v>635</x:v>
      </x:c>
      <x:c r="D118" s="50" t="str">
        <x:v>В декабре 2022 года звезда лыжного двоеборья Гида Вествол Хансен нарисовала ЭТО в знак протеста. Ее возмутило, что в 2022 году лыжное двоеборье было единственной дисциплиной, где не были представлены женщины. Основной посыл ее перфоманса был в том, что если бы она была мужчиной, она могла бы квалифицироваться на Олимпиаду. Что нарисовала Хансен?</x:v>
      </x:c>
      <x:c r="E118" s="50" t="str">
        <x:v>Борода</x:v>
      </x:c>
      <x:c r="F118" s="50" t="str">
        <x:v>https://t.me/simple_quiz/635</x:v>
      </x:c>
      <x:c r="G118" s="50" t="str">
        <x:v>telegram_archive/media/post_0635_photo_01.jpg</x:v>
      </x:c>
      <x:c r="H118" s="51" t="n">
        <x:v>0.9578</x:v>
      </x:c>
      <x:c r="I118" s="50" t="str">
        <x:v>Дубликат каталога</x:v>
      </x:c>
      <x:c r="J118" s="48" t="n">
        <x:v>38</x:v>
      </x:c>
    </x:row>
    <x:row r="119" ht="72" customHeight="1">
      <x:c r="A119" s="48" t="str">
        <x:v>TG-0636</x:v>
      </x:c>
      <x:c r="B119" s="49" t="n">
        <x:v>46173</x:v>
      </x:c>
      <x:c r="C119" s="48" t="n">
        <x:v>636</x:v>
      </x:c>
      <x:c r="D119" s="50" t="str">
        <x:v>Во время одного из соревнований в рамках All-Star Weekend НБА используется необычный снаряд. У этого снаряда составное название: первая часть подчеркивает ценность этого снаряда. В 201 году вышел фильм, который в американском прокате называется так же, как и этот необычный снаряд. Напишите, как назвали фильм в российском кинопрокате.</x:v>
      </x:c>
      <x:c r="E119" s="50" t="str">
        <x:v>Человек, который изменил всё</x:v>
      </x:c>
      <x:c r="F119" s="50" t="str">
        <x:v>https://t.me/simple_quiz/636</x:v>
      </x:c>
      <x:c r="G119" s="50" t="str">
        <x:v>telegram_archive/media/post_0636_photo_01.jpg</x:v>
      </x:c>
      <x:c r="H119" s="51" t="n">
        <x:v>0.9594</x:v>
      </x:c>
      <x:c r="I119" s="50" t="str">
        <x:v>Дубликат каталога</x:v>
      </x:c>
      <x:c r="J119" s="48" t="n">
        <x:v>35</x:v>
      </x:c>
    </x:row>
    <x:row r="120" ht="72" customHeight="1">
      <x:c r="A120" s="48" t="str">
        <x:v>TG-0644</x:v>
      </x:c>
      <x:c r="B120" s="49" t="n">
        <x:v>46176</x:v>
      </x:c>
      <x:c r="C120" s="48" t="n">
        <x:v>644</x:v>
      </x:c>
      <x:c r="D120" s="50" t="str">
        <x:v>Одна из песен ВИА «Биртман» называется ИКС. Вот что говорил известный вам беллетрист, сыгравший главную роль в клипе ИКС: «Если вы вообще слушали текст песни, то ИКС - это нея, не мой персонаж. А пришел и исправил то, что натворил ИКС. И всем опять стало весело». При жизни многие давали беллетристу характеристику, синонимичную с ИКСОМ. ИКС состоит из двух существительных. Воспроизведите ИКС.</x:v>
      </x:c>
      <x:c r="E120" s="50" t="str">
        <x:v>Человек-говно</x:v>
      </x:c>
      <x:c r="F120" s="50" t="str">
        <x:v>https://t.me/simple_quiz/644</x:v>
      </x:c>
      <x:c r="G120" s="50" t="str">
        <x:v>telegram_archive/media/post_0644_photo_01.jpg</x:v>
      </x:c>
      <x:c r="H120" s="51" t="n">
        <x:v>0.9506</x:v>
      </x:c>
      <x:c r="I120" s="50" t="str">
        <x:v>Дубликат каталога</x:v>
      </x:c>
      <x:c r="J120" s="48" t="n">
        <x:v>27</x:v>
      </x:c>
    </x:row>
    <x:row r="121" ht="72" customHeight="1">
      <x:c r="A121" s="48" t="str">
        <x:v>TG-0645</x:v>
      </x:c>
      <x:c r="B121" s="49" t="n">
        <x:v>46177</x:v>
      </x:c>
      <x:c r="C121" s="48" t="n">
        <x:v>645</x:v>
      </x:c>
      <x:c r="D121" s="50" t="str">
        <x:v>Легендарный баскетбольный тренер Пэт Райли сказал: «Я думаю, что аудитория хочет видеть за пределами паркета кого-то, кто выглядит как лидер, одет как лидер и ведет себя как лидер». Поэтому он предложил тренерам НБА сделать STO. Что предложил сделать тренерам HBA Пэт Райли?</x:v>
      </x:c>
      <x:c r="E121" s="50" t="str">
        <x:v>Носить костюм</x:v>
      </x:c>
      <x:c r="F121" s="50" t="str">
        <x:v>https://t.me/simple_quiz/645</x:v>
      </x:c>
      <x:c r="G121" s="50" t="str">
        <x:v>telegram_archive/media/post_0645_photo_01.jpg</x:v>
      </x:c>
      <x:c r="H121" s="51" t="n">
        <x:v>0.9585</x:v>
      </x:c>
      <x:c r="I121" s="50" t="str">
        <x:v>Дубликат каталога</x:v>
      </x:c>
      <x:c r="J121" s="48" t="n">
        <x:v>23</x:v>
      </x:c>
    </x:row>
    <x:row r="122" ht="72" customHeight="1">
      <x:c r="A122" s="48" t="str">
        <x:v>TG-0647</x:v>
      </x:c>
      <x:c r="B122" s="49" t="n">
        <x:v>46180</x:v>
      </x:c>
      <x:c r="C122" s="48" t="n">
        <x:v>647</x:v>
      </x:c>
      <x:c r="D122" s="50" t="str">
        <x:v>ЗАМЕНА одержала более чем в П раз больше побед, чем проиграла матчей. Все спортсмены в виде спорта, в котором прославилась ЗАМЕНА, рано или поздно оказываются на ЗАМЕНЕ. А самые достойные оказываются на ЗАМЕНЕ, названном в честь ЗАМЕНЫ. Назовите ЗАМЕНУ.</x:v>
      </x:c>
      <x:c r="E122" s="50" t="str">
        <x:v>Корт</x:v>
      </x:c>
      <x:c r="F122" s="50" t="str">
        <x:v>https://t.me/simple_quiz/647</x:v>
      </x:c>
      <x:c r="G122" s="50" t="str">
        <x:v>telegram_archive/media/post_0647_photo_01.jpg</x:v>
      </x:c>
      <x:c r="H122" s="51" t="n">
        <x:v>0.9524</x:v>
      </x:c>
      <x:c r="I122" s="50" t="str">
        <x:v>Дубликат каталога</x:v>
      </x:c>
      <x:c r="J122" s="48" t="n">
        <x:v>8</x:v>
      </x:c>
    </x:row>
    <x:row r="123" ht="72" customHeight="1">
      <x:c r="A123" s="48" t="str">
        <x:v>TG-0648</x:v>
      </x:c>
      <x:c r="B123" s="49" t="n">
        <x:v>46181</x:v>
      </x:c>
      <x:c r="C123" s="48" t="n">
        <x:v>648</x:v>
      </x:c>
      <x:c r="D123" s="50" t="str">
        <x:v>ИКС - один из создателей математического анализа. Благодаря ИКСАМ стало намного проще считать, кто — или что - сильнее. Аеще ИКС - квотербек, которого пикнули под первым номером в 201 году. Почти всю карьеру он провел в одной команде, на сезон заглянув в «Пэтриотс». Назовите ИКС.</x:v>
      </x:c>
      <x:c r="E123" s="50" t="str">
        <x:v>Ньютон</x:v>
      </x:c>
      <x:c r="F123" s="50" t="str">
        <x:v>https://t.me/simple_quiz/648</x:v>
      </x:c>
      <x:c r="G123" s="50" t="str">
        <x:v>telegram_archive/media/post_0648_photo_01.jpg</x:v>
      </x:c>
      <x:c r="H123" s="51" t="n">
        <x:v>0.9375</x:v>
      </x:c>
      <x:c r="I123" s="50" t="str">
        <x:v>Дубликат каталога</x:v>
      </x:c>
      <x:c r="J123" s="48" t="n">
        <x:v>12</x:v>
      </x:c>
    </x:row>
    <x:row r="124" ht="72" customHeight="1">
      <x:c r="A124" s="48" t="str">
        <x:v>TG-0649</x:v>
      </x:c>
      <x:c r="B124" s="49" t="n">
        <x:v>46183</x:v>
      </x:c>
      <x:c r="C124" s="48" t="n">
        <x:v>649</x:v>
      </x:c>
      <x:c r="D124" s="50" t="str">
        <x:v>Английским названием картины Рембрандта, написанной в 1642 году и оцененной в 500 миллионов долларов, можно описать то, что делают жители Москвы, предпочитающие смотреть американские виды спорта в прямом эфире. Российское название той же картины Рембрандта носит также один из романов российского писателя, по мотивам которого в 2004 году сняли фильм, собравший 33 миллиона долларов в прокате. Мы не просим назвать российское название картины - назовите его английскую версию.</x:v>
      </x:c>
      <x:c r="E124" s="50" t="str">
        <x:v>The Night Watch</x:v>
      </x:c>
      <x:c r="F124" s="50" t="str">
        <x:v>https://t.me/simple_quiz/649</x:v>
      </x:c>
      <x:c r="G124" s="50" t="str">
        <x:v>telegram_archive/media/post_0649_photo_01.jpg</x:v>
      </x:c>
      <x:c r="H124" s="51" t="n">
        <x:v>0.9587</x:v>
      </x:c>
      <x:c r="I124" s="50" t="str">
        <x:v>Дубликат каталога</x:v>
      </x:c>
      <x:c r="J124" s="48" t="n">
        <x:v>3</x:v>
      </x:c>
    </x:row>
    <x:row r="125" ht="72" customHeight="1">
      <x:c r="A125" s="48" t="str">
        <x:v>TG-0659</x:v>
      </x:c>
      <x:c r="B125" s="49" t="n">
        <x:v>46186</x:v>
      </x:c>
      <x:c r="C125" s="48" t="n">
        <x:v>659</x:v>
      </x:c>
      <x:c r="D125" s="50" t="str">
        <x:v>ИКС выиграл девять титулов с «Баварией» за три года. С сезона-2016-2017 он выступает в другой стране, будучи капитаном команды из топ-5 лиг. Другой ИКС написал главное произведение примерно за 700 лет до старта карьеры футбольного ИКСА. Назовите ИКС.</x:v>
      </x:c>
      <x:c r="E125" s="50" t="str">
        <x:v>Данте</x:v>
      </x:c>
      <x:c r="F125" s="50" t="str">
        <x:v>https://t.me/simple_quiz/659</x:v>
      </x:c>
      <x:c r="G125" s="50" t="str">
        <x:v>telegram_archive/media/post_0659_photo_01.jpg</x:v>
      </x:c>
      <x:c r="H125" s="51" t="n">
        <x:v>0.9567</x:v>
      </x:c>
      <x:c r="I125" s="50" t="str">
        <x:v>Дубликат каталога</x:v>
      </x:c>
      <x:c r="J125" s="48" t="n">
        <x:v>11</x:v>
      </x:c>
    </x:row>
    <x:row r="126" ht="72" customHeight="1">
      <x:c r="A126" s="48" t="str">
        <x:v>TG-0664</x:v>
      </x:c>
      <x:c r="B126" s="49" t="n">
        <x:v>46192</x:v>
      </x:c>
      <x:c r="C126" s="48" t="n">
        <x:v>664</x:v>
      </x:c>
      <x:c r="D126" s="50" t="str">
        <x:v>В 2021 году Леонид Слуцкий сделал ЕЕ: он рассказал об этом Ксении Собчак на ее УочТиБе-канале. С 2022 года многие россияне начали намного чаще делать EE, если хотят посетить страны Европы, Азии и Америки. Назовите EE тремя словами.</x:v>
      </x:c>
      <x:c r="E126" s="50" t="str">
        <x:v>Пересадка в Турции</x:v>
      </x:c>
      <x:c r="F126" s="50" t="str">
        <x:v>https://t.me/simple_quiz/664</x:v>
      </x:c>
      <x:c r="G126" s="50" t="str">
        <x:v>telegram_archive/media/post_0664_photo_01.jpg</x:v>
      </x:c>
      <x:c r="H126" s="51" t="n">
        <x:v>0.9532</x:v>
      </x:c>
      <x:c r="I126" s="50" t="str">
        <x:v>Ответ подтверждён реакцией канала</x:v>
      </x:c>
      <x:c r="J126" s="48"/>
    </x:row>
    <x:row r="127" ht="72" customHeight="1">
      <x:c r="A127" s="48" t="str">
        <x:v>TG-0669</x:v>
      </x:c>
      <x:c r="B127" s="49" t="n">
        <x:v>46198</x:v>
      </x:c>
      <x:c r="C127" s="48" t="n">
        <x:v>669</x:v>
      </x:c>
      <x:c r="D127" s="50" t="str">
        <x:v>Один из экспертов по русскому футболу дал такую характеристику 20-летнему форварду «Уфы» и воспитаннику одного из топ-клубов РПЛ Алексею Барановскому: «Он наглый пацан, который хорошо умеет играть в футбол. Говорю ему: все отлично, кроме фамилии». Назовите эксперта, который дал эту характеристику.</x:v>
      </x:c>
      <x:c r="E127" s="50" t="str">
        <x:v>Андрей Аршавин</x:v>
      </x:c>
      <x:c r="F127" s="50" t="str">
        <x:v>https://t.me/simple_quiz/669</x:v>
      </x:c>
      <x:c r="G127" s="50" t="str">
        <x:v>telegram_archive/media/post_0669_photo_01.jpg</x:v>
      </x:c>
      <x:c r="H127" s="51" t="n">
        <x:v>0.9577</x:v>
      </x:c>
      <x:c r="I127" s="50" t="str">
        <x:v>Ответ подтверждён реакцией канала</x:v>
      </x:c>
      <x:c r="J127" s="48"/>
    </x:row>
    <x:row r="128" ht="72" customHeight="1">
      <x:c r="A128" s="48" t="str">
        <x:v>TG-0682</x:v>
      </x:c>
      <x:c r="B128" s="49" t="n">
        <x:v>46199</x:v>
      </x:c>
      <x:c r="C128" s="48" t="n">
        <x:v>682</x:v>
      </x:c>
      <x:c r="D128" s="50" t="str">
        <x:v>Перед вами фрагмент постера, со Ма та посвященного одному =. м. ее спортивному событию. Горы, rh. которые стали частью Ч 4 а композиции, мы скрыли. AS ; Мы He спрашиваем вас, что А . это за событие - напишите, в 12 форме чего выполнен силуэт Ni города на этом постере. (5 R E</x:v>
      </x:c>
      <x:c r="E128" s="50" t="str">
        <x:v>Олимпийский факел</x:v>
      </x:c>
      <x:c r="F128" s="50" t="str">
        <x:v>https://t.me/simple_quiz/682</x:v>
      </x:c>
      <x:c r="G128" s="50" t="str">
        <x:v>telegram_archive/media/post_0682_photo_01.jpg</x:v>
      </x:c>
      <x:c r="H128" s="51" t="n">
        <x:v>0.7423</x:v>
      </x:c>
      <x:c r="I128" s="50" t="str">
        <x:v>Ответ подтверждён реакцией канала</x:v>
      </x:c>
      <x:c r="J128" s="48"/>
    </x:row>
    <x:row r="129" ht="72" customHeight="1">
      <x:c r="A129" s="48" t="str">
        <x:v>TG-0684</x:v>
      </x:c>
      <x:c r="B129" s="49" t="n">
        <x:v>46203</x:v>
      </x:c>
      <x:c r="C129" s="48" t="n">
        <x:v>684</x:v>
      </x:c>
      <x:c r="D129" s="50" t="str">
        <x:v>Обратная ОНА была распространенным приемом в византийской и древнерусской иконописи. Когда речь идет о талантливых спортсменах, часто говорят о НЕЙ и называют ТАКИМИ - прилагательным, образованным от слова ОНА. Правда, чем старше спортсмен, тем реже мы говорим о том, что он - ТАКОЙ. Даи ИХ у него становится меньше. Назовите EE.</x:v>
      </x:c>
      <x:c r="E129" s="50" t="str">
        <x:v>Перспектива</x:v>
      </x:c>
      <x:c r="F129" s="50" t="str">
        <x:v>https://t.me/simple_quiz/684</x:v>
      </x:c>
      <x:c r="G129" s="50" t="str">
        <x:v>telegram_archive/media/post_0684_photo_01.jpg</x:v>
      </x:c>
      <x:c r="H129" s="51" t="n">
        <x:v>0.955</x:v>
      </x:c>
      <x:c r="I129" s="50" t="str">
        <x:v>Ответ подтверждён реакцией канала</x:v>
      </x:c>
      <x:c r="J129" s="48"/>
    </x:row>
    <x:row r="130" ht="72" customHeight="1">
      <x:c r="A130" s="48" t="str">
        <x:v>TG-0716</x:v>
      </x:c>
      <x:c r="B130" s="49" t="n">
        <x:v>46224</x:v>
      </x:c>
      <x:c r="C130" s="48" t="n">
        <x:v>716</x:v>
      </x:c>
      <x:c r="D130" s="50" t="str">
        <x:v>Если бы мы были корейцами, то этой парой стран для нас были бы Гана и Венгрия. Если бы мы были англичанами, то этой парой стран для нас были бы Афганистан и Зимбабве. Для казахстанцев этой парой стран являются Албания и Ямайка. А для россиян - две страны-участницы чемпионата мира-2026. Назовите эти две страны.</x:v>
      </x:c>
      <x:c r="E130" s="50" t="str">
        <x:v>Не опубликован в посте</x:v>
      </x:c>
      <x:c r="F130" s="50" t="str">
        <x:v>https://t.me/simple_quiz/716</x:v>
      </x:c>
      <x:c r="G130" s="50" t="str">
        <x:v>telegram_archive/media/post_0716_photo_01.jpg</x:v>
      </x:c>
      <x:c r="H130" s="51" t="n">
        <x:v>0.9563</x:v>
      </x:c>
      <x:c r="I130" s="50" t="str">
        <x:v>Распознано — проверить ответ</x:v>
      </x:c>
      <x:c r="J130" s="48"/>
    </x:row>
    <x:row r="131" ht="72" customHeight="1">
      <x:c r="A131" s="48" t="str">
        <x:v>TG-0717</x:v>
      </x:c>
      <x:c r="B131" s="49" t="n">
        <x:v>46224</x:v>
      </x:c>
      <x:c r="C131" s="48" t="n">
        <x:v>717</x:v>
      </x:c>
      <x:c r="D131" s="50" t="str">
        <x:v>Несмотря на то, что эта европейская страна не попала на чемпионат мира по футболу, ее англоязычное название можно было увидеть во время трансляций как минимум восьми матчей ЧМ-2026. Назовите эту европейскую страну.</x:v>
      </x:c>
      <x:c r="E131" s="50" t="str">
        <x:v>Грузия</x:v>
      </x:c>
      <x:c r="F131" s="50" t="str">
        <x:v>https://t.me/simple_quiz/717</x:v>
      </x:c>
      <x:c r="G131" s="50" t="str">
        <x:v>telegram_archive/media/post_0717_photo_01.jpg</x:v>
      </x:c>
      <x:c r="H131" s="51" t="n">
        <x:v>0.9595</x:v>
      </x:c>
      <x:c r="I131" s="50" t="str">
        <x:v>Ответ подтверждён реакцией канала</x:v>
      </x:c>
      <x:c r="J131" s="48"/>
    </x:row>
    <x:row r="132" ht="72" customHeight="1">
      <x:c r="A132" s="48" t="str">
        <x:v>TG-0718</x:v>
      </x:c>
      <x:c r="B132" s="49" t="n">
        <x:v>46224</x:v>
      </x:c>
      <x:c r="C132" s="48" t="n">
        <x:v>718</x:v>
      </x:c>
      <x:c r="D132" s="50" t="str">
        <x:v>В 2006 году на платформе PSP вышла игра, где основной механикой был наклон планеты. Первая часть названия - испанское слово, которое совпадает с прозвищем тренера, не вышедшего вместе со сборной из группы на ЧМ-2026. Назовите фамилию этого тренера.</x:v>
      </x:c>
      <x:c r="E132" s="50" t="str">
        <x:v>Марсело Бьельса</x:v>
      </x:c>
      <x:c r="F132" s="50" t="str">
        <x:v>https://t.me/simple_quiz/718</x:v>
      </x:c>
      <x:c r="G132" s="50" t="str">
        <x:v>telegram_archive/media/post_0718_photo_01.jpg</x:v>
      </x:c>
      <x:c r="H132" s="51" t="n">
        <x:v>0.957</x:v>
      </x:c>
      <x:c r="I132" s="50" t="str">
        <x:v>Ответ подтверждён реакцией канала</x:v>
      </x:c>
      <x:c r="J132" s="48"/>
    </x:row>
    <x:row r="133" ht="72" customHeight="1">
      <x:c r="A133" s="48" t="str">
        <x:v>TG-0719</x:v>
      </x:c>
      <x:c r="B133" s="49" t="n">
        <x:v>46226</x:v>
      </x:c>
      <x:c r="C133" s="48" t="n">
        <x:v>719</x:v>
      </x:c>
      <x:c r="D133" s="50" t="str">
        <x:v>В переводе с греческого это имя означает «бессмертный». Все, кто смотрел ЧМ-2026, наверняка слышали это имя. Услышать это имя от футбольного комментатора практически нереально, - вы навряд ли знаете хотя бы одного футболиста с таким именем. Но оно уже так прочно ассоциируется с этим ЧМ-2026, что на «Cnoptce"» даже вышла статья, посвященная этому «бессмертному». О каком имени идет речь?</x:v>
      </x:c>
      <x:c r="E133" s="50" t="str">
        <x:v>Не опубликован в посте</x:v>
      </x:c>
      <x:c r="F133" s="50" t="str">
        <x:v>https://t.me/simple_quiz/719</x:v>
      </x:c>
      <x:c r="G133" s="50" t="str">
        <x:v>telegram_archive/media/post_0719_photo_01.jpg</x:v>
      </x:c>
      <x:c r="H133" s="51" t="n">
        <x:v>0.9533</x:v>
      </x:c>
      <x:c r="I133" s="50" t="str">
        <x:v>Распознано — проверить ответ</x:v>
      </x:c>
      <x:c r="J133" s="48"/>
    </x:row>
  </x:sheetData>
  <x:mergeCells>
    <x:mergeCell ref="A1:J1"/>
    <x:mergeCell ref="A2:J2"/>
  </x:mergeCells>
  <x:conditionalFormatting sqref="I4:I133">
    <x:cfRule type="containsText" dxfId="0" priority="1" operator="containsText" text="Дубликат"/>
    <x:cfRule type="containsText" dxfId="1" priority="2" operator="containsText" text="OCR"/>
    <x:cfRule type="containsText" dxfId="2" priority="3" operator="containsText" text="Распознано"/>
  </x:conditionalFormatting>
  <x:dataValidations count="1">
    <x:dataValidation type="list" sqref="I4:I133">
      <x:formula1>"Распознано — проверить ответ,OCR — проверить формулировку,Дубликат каталога,Ответ подтверждён реакцией канала,Ответ подтверждён пользователем,Проверено"</x:formula1>
    </x:dataValidation>
  </x:dataValidations>
  <x:pageMargins left="0.7" right="0.7" top="0.75" bottom="0.75" header="0.3" footer="0.3"/>
  <x:tableParts count="1">
    <x:tablePart xmlns:r="http://schemas.openxmlformats.org/officeDocument/2006/relationships" r:id="R9d1a13b730df479d"/>
  </x:tableParts>
</x:worksheet>
</file>